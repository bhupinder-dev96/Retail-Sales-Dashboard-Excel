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Target\Retail Sales Performance Dashboard\"/>
    </mc:Choice>
  </mc:AlternateContent>
  <xr:revisionPtr revIDLastSave="0" documentId="13_ncr:1_{E35215DC-9895-495C-9AD7-CC9B3DF61938}" xr6:coauthVersionLast="47" xr6:coauthVersionMax="47" xr10:uidLastSave="{00000000-0000-0000-0000-000000000000}"/>
  <bookViews>
    <workbookView xWindow="-120" yWindow="-120" windowWidth="20730" windowHeight="11040" firstSheet="1" activeTab="3" xr2:uid="{00000000-000D-0000-FFFF-FFFF00000000}"/>
  </bookViews>
  <sheets>
    <sheet name="Sales_Data" sheetId="1" r:id="rId1"/>
    <sheet name="KPI_Calculations" sheetId="3" r:id="rId2"/>
    <sheet name="Pivot_Analysis" sheetId="4" r:id="rId3"/>
    <sheet name="Dashboard" sheetId="7" r:id="rId4"/>
  </sheets>
  <definedNames>
    <definedName name="NativeTimeline_OrderDate">#N/A</definedName>
    <definedName name="Slicer_Category">#N/A</definedName>
    <definedName name="Slicer_Produc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3" l="1"/>
  <c r="A5" i="7" s="1"/>
  <c r="I2" i="3"/>
  <c r="M5" i="7" s="1"/>
  <c r="G2" i="3"/>
  <c r="E2" i="3"/>
  <c r="I5" i="7" s="1"/>
  <c r="C2" i="3"/>
  <c r="E5" i="7" s="1"/>
</calcChain>
</file>

<file path=xl/sharedStrings.xml><?xml version="1.0" encoding="utf-8"?>
<sst xmlns="http://schemas.openxmlformats.org/spreadsheetml/2006/main" count="4065" uniqueCount="1053">
  <si>
    <t>OrderID</t>
  </si>
  <si>
    <t>OrderDate</t>
  </si>
  <si>
    <t>Region</t>
  </si>
  <si>
    <t>Product</t>
  </si>
  <si>
    <t>Category</t>
  </si>
  <si>
    <t>Quantity</t>
  </si>
  <si>
    <t>Sales</t>
  </si>
  <si>
    <t>Profit</t>
  </si>
  <si>
    <t>ORD0001</t>
  </si>
  <si>
    <t>North</t>
  </si>
  <si>
    <t>iPhone</t>
  </si>
  <si>
    <t>Mobile</t>
  </si>
  <si>
    <t>ORD0002</t>
  </si>
  <si>
    <t>Canon</t>
  </si>
  <si>
    <t>Printer</t>
  </si>
  <si>
    <t>ORD0003</t>
  </si>
  <si>
    <t>Lenovo</t>
  </si>
  <si>
    <t>Laptop</t>
  </si>
  <si>
    <t>ORD0004</t>
  </si>
  <si>
    <t>ORD0005</t>
  </si>
  <si>
    <t>Samsung Galaxy</t>
  </si>
  <si>
    <t>ORD0006</t>
  </si>
  <si>
    <t>East</t>
  </si>
  <si>
    <t>HP Printer</t>
  </si>
  <si>
    <t>ORD0007</t>
  </si>
  <si>
    <t>Headset</t>
  </si>
  <si>
    <t>Accessories</t>
  </si>
  <si>
    <t>ORD0008</t>
  </si>
  <si>
    <t>South</t>
  </si>
  <si>
    <t>ORD0009</t>
  </si>
  <si>
    <t>Keyboard</t>
  </si>
  <si>
    <t>ORD0010</t>
  </si>
  <si>
    <t>ORD0011</t>
  </si>
  <si>
    <t>Mouse</t>
  </si>
  <si>
    <t>ORD0012</t>
  </si>
  <si>
    <t>West</t>
  </si>
  <si>
    <t>ORD0013</t>
  </si>
  <si>
    <t>ORD0014</t>
  </si>
  <si>
    <t>ORD0015</t>
  </si>
  <si>
    <t>ORD0016</t>
  </si>
  <si>
    <t>ORD0017</t>
  </si>
  <si>
    <t>OnePlus</t>
  </si>
  <si>
    <t>ORD0018</t>
  </si>
  <si>
    <t>ORD0019</t>
  </si>
  <si>
    <t>ORD0020</t>
  </si>
  <si>
    <t>ORD0021</t>
  </si>
  <si>
    <t>ORD0022</t>
  </si>
  <si>
    <t>ORD0023</t>
  </si>
  <si>
    <t>Dell</t>
  </si>
  <si>
    <t>ORD0024</t>
  </si>
  <si>
    <t>ORD0025</t>
  </si>
  <si>
    <t>ORD0026</t>
  </si>
  <si>
    <t>ORD0027</t>
  </si>
  <si>
    <t>ORD0028</t>
  </si>
  <si>
    <t>ORD0029</t>
  </si>
  <si>
    <t>HP</t>
  </si>
  <si>
    <t>ORD0030</t>
  </si>
  <si>
    <t>Epson</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</si>
  <si>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</si>
  <si>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</si>
  <si>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</si>
  <si>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</si>
  <si>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</si>
  <si>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</si>
  <si>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</si>
  <si>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</si>
  <si>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</si>
  <si>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</si>
  <si>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</si>
  <si>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</si>
  <si>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</si>
  <si>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</si>
  <si>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</si>
  <si>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</si>
  <si>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</si>
  <si>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</si>
  <si>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</si>
  <si>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</si>
  <si>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</si>
  <si>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</si>
  <si>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</si>
  <si>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</si>
  <si>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</si>
  <si>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</si>
  <si>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</si>
  <si>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</si>
  <si>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</si>
  <si>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</si>
  <si>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</si>
  <si>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</si>
  <si>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</si>
  <si>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</si>
  <si>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</si>
  <si>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</si>
  <si>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</si>
  <si>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</si>
  <si>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</si>
  <si>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</si>
  <si>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</si>
  <si>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</si>
  <si>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</si>
  <si>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</si>
  <si>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</si>
  <si>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</si>
  <si>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</si>
  <si>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</si>
  <si>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</si>
  <si>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</si>
  <si>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</si>
  <si>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</si>
  <si>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</si>
  <si>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</si>
  <si>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</si>
  <si>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</si>
  <si>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</si>
  <si>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</si>
  <si>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</si>
  <si>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</si>
  <si>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</si>
  <si>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</si>
  <si>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</si>
  <si>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</si>
  <si>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</si>
  <si>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</si>
  <si>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</si>
  <si>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</si>
  <si>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</si>
  <si>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</si>
  <si>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</si>
  <si>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</si>
  <si>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</si>
  <si>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</si>
  <si>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</si>
  <si>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</si>
  <si>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</si>
  <si>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</si>
  <si>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</si>
  <si>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</si>
  <si>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</si>
  <si>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</si>
  <si>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</si>
  <si>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</si>
  <si>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</si>
  <si>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</si>
  <si>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</si>
  <si>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</si>
  <si>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</si>
  <si>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</si>
  <si>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</si>
  <si>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</si>
  <si>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</si>
  <si>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</si>
  <si>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</si>
  <si>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</si>
  <si>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</si>
  <si>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</si>
  <si>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</si>
  <si>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</si>
  <si>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</si>
  <si>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</si>
  <si>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</si>
  <si>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</si>
  <si>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</si>
  <si>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</si>
  <si>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</si>
  <si>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</si>
  <si>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</si>
  <si>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</si>
  <si>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</si>
  <si>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</si>
  <si>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</si>
  <si>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</si>
  <si>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</si>
  <si>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</si>
  <si>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</si>
  <si>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</si>
  <si>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</si>
  <si>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</si>
  <si>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</si>
  <si>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</si>
  <si>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</si>
  <si>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</si>
  <si>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</si>
  <si>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</si>
  <si>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</si>
  <si>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</si>
  <si>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</si>
  <si>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</si>
  <si>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</si>
  <si>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</si>
  <si>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</si>
  <si>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</si>
  <si>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</si>
  <si>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</si>
  <si>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</si>
  <si>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</si>
  <si>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</si>
  <si>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</si>
  <si>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</si>
  <si>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</si>
  <si>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</si>
  <si>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</si>
  <si>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</si>
  <si>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</si>
  <si>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</si>
  <si>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</si>
  <si>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</si>
  <si>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</si>
  <si>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</si>
  <si>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</si>
  <si>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</si>
  <si>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</si>
  <si>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</si>
  <si>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</si>
  <si>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</si>
  <si>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</si>
  <si>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</si>
  <si>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</si>
  <si>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</si>
  <si>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</si>
  <si>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</si>
  <si>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</si>
  <si>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</si>
  <si>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</si>
  <si>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</si>
  <si>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</si>
  <si>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</si>
  <si>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</si>
  <si>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</si>
  <si>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</si>
  <si>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</si>
  <si>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</si>
  <si>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</si>
  <si>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</si>
  <si>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</si>
  <si>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</si>
  <si>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</si>
  <si>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</si>
  <si>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</si>
  <si>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</si>
  <si>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</si>
  <si>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</si>
  <si>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</si>
  <si>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</si>
  <si>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</si>
  <si>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</si>
  <si>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</si>
  <si>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</si>
  <si>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</si>
  <si>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</si>
  <si>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</si>
  <si>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</si>
  <si>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</si>
  <si>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</si>
  <si>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</si>
  <si>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</si>
  <si>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</si>
  <si>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</si>
  <si>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</si>
  <si>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</si>
  <si>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</si>
  <si>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</si>
  <si>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</si>
  <si>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</si>
  <si>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</si>
  <si>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</si>
  <si>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</si>
  <si>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</si>
  <si>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</si>
  <si>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</si>
  <si>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</si>
  <si>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</si>
  <si>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</si>
  <si>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</si>
  <si>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</si>
  <si>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</si>
  <si>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</si>
  <si>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</si>
  <si>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</si>
  <si>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</si>
  <si>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</si>
  <si>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</si>
  <si>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</si>
  <si>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</si>
  <si>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</si>
  <si>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</si>
  <si>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</si>
  <si>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</si>
  <si>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</si>
  <si>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</si>
  <si>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</si>
  <si>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</si>
  <si>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</si>
  <si>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</si>
  <si>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</si>
  <si>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</si>
  <si>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</si>
  <si>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</si>
  <si>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</si>
  <si>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</si>
  <si>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</si>
  <si>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</si>
  <si>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</si>
  <si>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</si>
  <si>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</si>
  <si>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</si>
  <si>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</si>
  <si>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</si>
  <si>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</si>
  <si>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</si>
  <si>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</si>
  <si>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</si>
  <si>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</si>
  <si>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</si>
  <si>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</si>
  <si>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</si>
  <si>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</si>
  <si>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</si>
  <si>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</si>
  <si>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</si>
  <si>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</si>
  <si>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</si>
  <si>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</si>
  <si>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</si>
  <si>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</si>
  <si>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</si>
  <si>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</si>
  <si>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</si>
  <si>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</si>
  <si>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</si>
  <si>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</si>
  <si>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</si>
  <si>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</si>
  <si>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</si>
  <si>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</si>
  <si>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</si>
  <si>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</si>
  <si>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</si>
  <si>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</si>
  <si>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</si>
  <si>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</si>
  <si>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</si>
  <si>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</si>
  <si>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</si>
  <si>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</si>
  <si>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</si>
  <si>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</si>
  <si>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</si>
  <si>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</si>
  <si>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</si>
  <si>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</si>
  <si>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</si>
  <si>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</si>
  <si>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</si>
  <si>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</si>
  <si>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</si>
  <si>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</si>
  <si>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</si>
  <si>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</si>
  <si>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</si>
  <si>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</si>
  <si>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</si>
  <si>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</si>
  <si>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</si>
  <si>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</si>
  <si>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</si>
  <si>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</si>
  <si>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</si>
  <si>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</si>
  <si>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</si>
  <si>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</si>
  <si>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</si>
  <si>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</si>
  <si>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</si>
  <si>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</si>
  <si>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</si>
  <si>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</si>
  <si>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</si>
  <si>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</si>
  <si>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</si>
  <si>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</si>
  <si>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</si>
  <si>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</si>
  <si>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</si>
  <si>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</si>
  <si>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</si>
  <si>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</si>
  <si>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</si>
  <si>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</si>
  <si>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</si>
  <si>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</si>
  <si>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</si>
  <si>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</si>
  <si>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</si>
  <si>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</si>
  <si>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</si>
  <si>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</si>
  <si>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</si>
  <si>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</si>
  <si>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</si>
  <si>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</si>
  <si>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</si>
  <si>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</si>
  <si>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</si>
  <si>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</si>
  <si>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</si>
  <si>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</si>
  <si>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</si>
  <si>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</si>
  <si>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</si>
  <si>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</si>
  <si>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</si>
  <si>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</si>
  <si>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</si>
  <si>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</si>
  <si>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</si>
  <si>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</si>
  <si>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</si>
  <si>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</si>
  <si>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</si>
  <si>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</si>
  <si>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</si>
  <si>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</si>
  <si>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</si>
  <si>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</si>
  <si>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</si>
  <si>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</si>
  <si>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</si>
  <si>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</si>
  <si>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</si>
  <si>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</si>
  <si>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</si>
  <si>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</si>
  <si>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</si>
  <si>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</si>
  <si>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</si>
  <si>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</si>
  <si>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</si>
  <si>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</si>
  <si>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</si>
  <si>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</si>
  <si>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</si>
  <si>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</si>
  <si>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</si>
  <si>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</si>
  <si>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</si>
  <si>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</si>
  <si>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</si>
  <si>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</si>
  <si>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</si>
  <si>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</si>
  <si>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</si>
  <si>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</si>
  <si>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</si>
  <si>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</si>
  <si>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</si>
  <si>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</si>
  <si>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</si>
  <si>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</si>
  <si>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</si>
  <si>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</si>
  <si>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</si>
  <si>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</si>
  <si>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</si>
  <si>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</si>
  <si>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</si>
  <si>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</si>
  <si>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</si>
  <si>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</si>
  <si>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</si>
  <si>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</si>
  <si>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</si>
  <si>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</si>
  <si>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</si>
  <si>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</si>
  <si>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</si>
  <si>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</si>
  <si>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</si>
  <si>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</si>
  <si>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</si>
  <si>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</si>
  <si>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</si>
  <si>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</si>
  <si>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</si>
  <si>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</si>
  <si>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</si>
  <si>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</si>
  <si>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</si>
  <si>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</si>
  <si>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</si>
  <si>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</si>
  <si>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</si>
  <si>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</si>
  <si>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</si>
  <si>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</si>
  <si>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</si>
  <si>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</si>
  <si>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</si>
  <si>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</si>
  <si>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</si>
  <si>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</si>
  <si>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</si>
  <si>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</si>
  <si>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</si>
  <si>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</si>
  <si>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</si>
  <si>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</si>
  <si>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</si>
  <si>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</si>
  <si>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</si>
  <si>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</si>
  <si>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</si>
  <si>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</si>
  <si>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</si>
  <si>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</si>
  <si>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</si>
  <si>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</si>
  <si>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</si>
  <si>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</si>
  <si>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</si>
  <si>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</si>
  <si>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</si>
  <si>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</si>
  <si>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</si>
  <si>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</si>
  <si>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</si>
  <si>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</si>
  <si>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</si>
  <si>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</si>
  <si>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</si>
  <si>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</si>
  <si>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</si>
  <si>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</si>
  <si>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</si>
  <si>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</si>
  <si>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</si>
  <si>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</si>
  <si>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</si>
  <si>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</si>
  <si>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</si>
  <si>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</si>
  <si>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</si>
  <si>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</si>
  <si>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</si>
  <si>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</si>
  <si>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</si>
  <si>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</si>
  <si>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</si>
  <si>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</si>
  <si>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</si>
  <si>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</si>
  <si>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</si>
  <si>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</si>
  <si>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</si>
  <si>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</si>
  <si>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</si>
  <si>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</si>
  <si>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</si>
  <si>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</si>
  <si>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</si>
  <si>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</si>
  <si>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</si>
  <si>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</si>
  <si>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</si>
  <si>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</si>
  <si>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</si>
  <si>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</si>
  <si>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</si>
  <si>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</si>
  <si>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</si>
  <si>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</si>
  <si>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</si>
  <si>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</si>
  <si>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</si>
  <si>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</si>
  <si>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</si>
  <si>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</si>
  <si>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</si>
  <si>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</si>
  <si>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</si>
  <si>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</si>
  <si>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</si>
  <si>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</si>
  <si>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</si>
  <si>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</si>
  <si>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</si>
  <si>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</si>
  <si>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</si>
  <si>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</si>
  <si>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</si>
  <si>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</si>
  <si>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</si>
  <si>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</si>
  <si>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</si>
  <si>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</si>
  <si>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</si>
  <si>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</si>
  <si>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</si>
  <si>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</si>
  <si>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</si>
  <si>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</si>
  <si>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</si>
  <si>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</si>
  <si>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</si>
  <si>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</si>
  <si>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</si>
  <si>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</si>
  <si>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</si>
  <si>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</si>
  <si>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</si>
  <si>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</si>
  <si>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</si>
  <si>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</si>
  <si>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</si>
  <si>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</si>
  <si>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</si>
  <si>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</si>
  <si>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</si>
  <si>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</si>
  <si>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</si>
  <si>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</si>
  <si>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</si>
  <si>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</si>
  <si>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</si>
  <si>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</si>
  <si>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</si>
  <si>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</si>
  <si>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</si>
  <si>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</si>
  <si>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</si>
  <si>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</si>
  <si>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</si>
  <si>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</si>
  <si>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</si>
  <si>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</si>
  <si>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</si>
  <si>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</si>
  <si>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</si>
  <si>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</si>
  <si>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</si>
  <si>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</si>
  <si>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</si>
  <si>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</si>
  <si>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</si>
  <si>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</si>
  <si>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</si>
  <si>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</si>
  <si>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</si>
  <si>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</si>
  <si>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</si>
  <si>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</si>
  <si>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</si>
  <si>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</si>
  <si>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</si>
  <si>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</si>
  <si>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</si>
  <si>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</si>
  <si>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</si>
  <si>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</si>
  <si>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</si>
  <si>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</si>
  <si>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</si>
  <si>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</si>
  <si>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</si>
  <si>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</si>
  <si>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</si>
  <si>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</si>
  <si>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</si>
  <si>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</si>
  <si>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</si>
  <si>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</si>
  <si>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</si>
  <si>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</si>
  <si>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</si>
  <si>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</si>
  <si>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</si>
  <si>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</si>
  <si>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</si>
  <si>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</si>
  <si>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</si>
  <si>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</si>
  <si>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</si>
  <si>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</si>
  <si>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</si>
  <si>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</si>
  <si>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</si>
  <si>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</si>
  <si>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</si>
  <si>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</si>
  <si>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</si>
  <si>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</si>
  <si>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</si>
  <si>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</si>
  <si>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</si>
  <si>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</si>
  <si>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</si>
  <si>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</si>
  <si>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</si>
  <si>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</si>
  <si>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</si>
  <si>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</si>
  <si>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</si>
  <si>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</si>
  <si>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</si>
  <si>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</si>
  <si>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</si>
  <si>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</si>
  <si>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</si>
  <si>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</si>
  <si>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</si>
  <si>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</si>
  <si>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</si>
  <si>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</si>
  <si>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</si>
  <si>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</si>
  <si>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</si>
  <si>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</si>
  <si>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</si>
  <si>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</si>
  <si>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</si>
  <si>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</si>
  <si>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</si>
  <si>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</si>
  <si>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</si>
  <si>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</si>
  <si>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</si>
  <si>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</si>
  <si>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</si>
  <si>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</si>
  <si>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</si>
  <si>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</si>
  <si>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</si>
  <si>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</si>
  <si>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</si>
  <si>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</si>
  <si>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</si>
  <si>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</si>
  <si>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</si>
  <si>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</si>
  <si>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</si>
  <si>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</si>
  <si>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</si>
  <si>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</si>
  <si>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</si>
  <si>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</si>
  <si>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</si>
  <si>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</si>
  <si>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</si>
  <si>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</si>
  <si>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</si>
  <si>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</si>
  <si>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</si>
  <si>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</si>
  <si>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</si>
  <si>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</si>
  <si>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</si>
  <si>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</si>
  <si>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</si>
  <si>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</si>
  <si>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</si>
  <si>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</si>
  <si>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</si>
  <si>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</si>
  <si>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</si>
  <si>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</si>
  <si>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</si>
  <si>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</si>
  <si>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</si>
  <si>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</si>
  <si>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</si>
  <si>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</si>
  <si>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</si>
  <si>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</si>
  <si>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</si>
  <si>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</si>
  <si>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</si>
  <si>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</si>
  <si>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</si>
  <si>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</si>
  <si>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</si>
  <si>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</si>
  <si>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</si>
  <si>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</si>
  <si>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</si>
  <si>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</si>
  <si>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</si>
  <si>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</si>
  <si>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</si>
  <si>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</si>
  <si>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</si>
  <si>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</si>
  <si>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</si>
  <si>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</si>
  <si>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</si>
  <si>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</si>
  <si>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</si>
  <si>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</si>
  <si>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</si>
  <si>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</si>
  <si>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</si>
  <si>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</si>
  <si>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</si>
  <si>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</si>
  <si>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</si>
  <si>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</si>
  <si>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</si>
  <si>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</si>
  <si>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</si>
  <si>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</si>
  <si>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</si>
  <si>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</si>
  <si>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</si>
  <si>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</si>
  <si>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</si>
  <si>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</si>
  <si>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</si>
  <si>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</si>
  <si>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</si>
  <si>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</si>
  <si>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</si>
  <si>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</si>
  <si>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</si>
  <si>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</si>
  <si>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</si>
  <si>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</si>
  <si>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</si>
  <si>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</si>
  <si>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</si>
  <si>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</si>
  <si>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</si>
  <si>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</si>
  <si>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</si>
  <si>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</si>
  <si>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</si>
  <si>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</si>
  <si>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</si>
  <si>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</si>
  <si>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</si>
  <si>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</si>
  <si>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</si>
  <si>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</si>
  <si>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</si>
  <si>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</si>
  <si>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</si>
  <si>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</si>
  <si>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</si>
  <si>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</si>
  <si>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</si>
  <si>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</si>
  <si>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</si>
  <si>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</si>
  <si>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</si>
  <si>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</si>
  <si>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</si>
  <si>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</si>
  <si>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</si>
  <si>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</si>
  <si>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</si>
  <si>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</si>
  <si>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</si>
  <si>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</si>
  <si>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</si>
  <si>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</si>
  <si>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</si>
  <si>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</si>
  <si>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</si>
  <si>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</si>
  <si>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</si>
  <si>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</si>
  <si>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</si>
  <si>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</si>
  <si>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</si>
  <si>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</si>
  <si>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</si>
  <si>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</si>
  <si>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</si>
  <si>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</si>
  <si>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</si>
  <si>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</si>
  <si>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</si>
  <si>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</si>
  <si>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</si>
  <si>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</si>
  <si>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</si>
  <si>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</si>
  <si>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</si>
  <si>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</si>
  <si>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</si>
  <si>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</si>
  <si>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</si>
  <si>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</si>
  <si>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</si>
  <si>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</si>
  <si>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</si>
  <si>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</si>
  <si>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</si>
  <si>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</si>
  <si>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</si>
  <si>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</si>
  <si>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</si>
  <si>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</si>
  <si>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</si>
  <si>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</si>
  <si>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</si>
  <si>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</si>
  <si>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</si>
  <si>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</si>
  <si>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</si>
  <si>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</si>
  <si>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</si>
  <si>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</si>
  <si>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</si>
  <si>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</si>
  <si>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</si>
  <si>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</si>
  <si>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</si>
  <si>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</si>
  <si>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</si>
  <si>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</si>
  <si>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</si>
  <si>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</si>
  <si>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</si>
  <si>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</si>
  <si>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</si>
  <si>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</si>
  <si>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</si>
  <si>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</si>
  <si>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</si>
  <si>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</si>
  <si>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</si>
  <si>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</si>
  <si>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</si>
  <si>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</si>
  <si>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</si>
  <si>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</si>
  <si>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</si>
  <si>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</si>
  <si>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</si>
  <si>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</si>
  <si>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</si>
  <si>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</si>
  <si>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</si>
  <si>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</si>
  <si>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</si>
  <si>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</si>
  <si>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</si>
  <si>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</si>
  <si>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</si>
  <si>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</si>
  <si>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</si>
  <si>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</si>
  <si>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</si>
  <si>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</si>
  <si>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</si>
  <si>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</si>
  <si>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</si>
  <si>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</si>
  <si>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</si>
  <si>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</si>
  <si>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</si>
  <si>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</si>
  <si>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</si>
  <si>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</si>
  <si>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</si>
  <si>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</si>
  <si>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</si>
  <si>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</si>
  <si>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</si>
  <si>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</si>
  <si>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</si>
  <si>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</si>
  <si>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</si>
  <si>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</si>
  <si>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</si>
  <si>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</si>
  <si>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</si>
  <si>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</si>
  <si>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</si>
  <si>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</si>
  <si>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</si>
  <si>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</si>
  <si>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</si>
  <si>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</si>
  <si>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</si>
  <si>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</si>
  <si>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</si>
  <si>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</si>
  <si>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</si>
  <si>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</si>
  <si>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</si>
  <si>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</si>
  <si>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</si>
  <si>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</si>
  <si>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</si>
  <si>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</si>
  <si>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</si>
  <si>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</si>
  <si>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</si>
  <si>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</si>
  <si>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</si>
  <si>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</si>
  <si>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</si>
  <si>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</si>
  <si>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</si>
  <si>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</si>
  <si>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</si>
  <si>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</si>
  <si>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</si>
  <si>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</si>
  <si>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</si>
  <si>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</si>
  <si>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</si>
  <si>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</si>
  <si>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</si>
  <si>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</si>
  <si>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</si>
  <si>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</si>
  <si>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</si>
  <si>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</si>
  <si>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</si>
  <si>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</si>
  <si>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</si>
  <si>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</si>
  <si>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</si>
  <si>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</si>
  <si>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</si>
  <si>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</si>
  <si>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</si>
  <si>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Total Sales</t>
  </si>
  <si>
    <t>Total Profit</t>
  </si>
  <si>
    <t>Total Orders</t>
  </si>
  <si>
    <t>Average Order Value</t>
  </si>
  <si>
    <t>Profit %</t>
  </si>
  <si>
    <t>Grand Total</t>
  </si>
  <si>
    <t>Region Performance</t>
  </si>
  <si>
    <t>Monthly Trend</t>
  </si>
  <si>
    <t>Jan</t>
  </si>
  <si>
    <t>Feb</t>
  </si>
  <si>
    <t>Mar</t>
  </si>
  <si>
    <t>Apr</t>
  </si>
  <si>
    <t>May</t>
  </si>
  <si>
    <t>Jun</t>
  </si>
  <si>
    <t>Jul</t>
  </si>
  <si>
    <t>Aug</t>
  </si>
  <si>
    <t>Sep</t>
  </si>
  <si>
    <t>Oct</t>
  </si>
  <si>
    <t>Nov</t>
  </si>
  <si>
    <t>Dec</t>
  </si>
  <si>
    <t>Top 5 Products</t>
  </si>
  <si>
    <t>Profit Analysis</t>
  </si>
  <si>
    <t>Category Analysis</t>
  </si>
  <si>
    <t>Retail Sales Performance Dashboard</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</si>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</sst>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00"/>
  </numFmts>
  <fonts count="6"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20"/>
      <color theme="0"/>
      <name val="Calibri"/>
      <family val="2"/>
      <scheme val="minor"/>
    </font>
    <font>
      <b/>
      <sz val="16"/>
      <color theme="1"/>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2" fontId="0" fillId="0" borderId="0" xfId="0" applyNumberFormat="1"/>
    <xf numFmtId="14" fontId="0" fillId="0" borderId="0" xfId="0" applyNumberFormat="1"/>
    <xf numFmtId="0" fontId="3" fillId="2" borderId="1" xfId="0" applyFont="1" applyFill="1" applyBorder="1"/>
    <xf numFmtId="2" fontId="0" fillId="0" borderId="1" xfId="0" applyNumberFormat="1" applyBorder="1"/>
    <xf numFmtId="164" fontId="0" fillId="0" borderId="1" xfId="1" applyNumberFormat="1" applyFont="1" applyBorder="1"/>
    <xf numFmtId="0" fontId="0" fillId="0" borderId="0" xfId="0" pivotButton="1"/>
    <xf numFmtId="165" fontId="0" fillId="0" borderId="0" xfId="0" applyNumberFormat="1"/>
    <xf numFmtId="1" fontId="0" fillId="0" borderId="1" xfId="0" applyNumberFormat="1" applyBorder="1"/>
    <xf numFmtId="165" fontId="0" fillId="0" borderId="1" xfId="0" applyNumberFormat="1" applyBorder="1"/>
    <xf numFmtId="0" fontId="4" fillId="2" borderId="0" xfId="0" applyFont="1" applyFill="1" applyAlignment="1">
      <alignment horizontal="center"/>
    </xf>
    <xf numFmtId="0" fontId="0" fillId="3" borderId="1" xfId="0" applyFill="1" applyBorder="1" applyAlignment="1">
      <alignment horizontal="center"/>
    </xf>
    <xf numFmtId="164" fontId="5" fillId="0" borderId="1" xfId="0" applyNumberFormat="1" applyFont="1" applyBorder="1" applyAlignment="1">
      <alignment horizontal="center"/>
    </xf>
    <xf numFmtId="165" fontId="5" fillId="0" borderId="1" xfId="0" applyNumberFormat="1" applyFont="1" applyBorder="1" applyAlignment="1">
      <alignment horizontal="center"/>
    </xf>
    <xf numFmtId="1" fontId="5" fillId="0" borderId="1" xfId="0" applyNumberFormat="1" applyFont="1" applyBorder="1" applyAlignment="1">
      <alignment horizontal="center"/>
    </xf>
    <xf numFmtId="0" fontId="2" fillId="2" borderId="0" xfId="0" applyFont="1" applyFill="1" applyAlignment="1">
      <alignment horizontal="center"/>
    </xf>
    <xf numFmtId="0" fontId="3" fillId="2" borderId="0" xfId="0" applyFont="1" applyFill="1" applyAlignment="1">
      <alignment horizontal="center"/>
    </xf>
  </cellXfs>
  <cellStyles count="2">
    <cellStyle name="Normal" xfId="0" builtinId="0"/>
    <cellStyle name="Percent" xfId="1" builtinId="5"/>
  </cellStyles>
  <dxfs count="9">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2" formatCode="0.00"/>
    </dxf>
    <dxf>
      <numFmt numFmtId="2" formatCode="0.00"/>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[Retail_Sales_Dataset.xlsx]Pivot_Analysis!Region Performance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Sales by Region</a:t>
            </a:r>
            <a:endParaRPr lang="en-US" b="1">
              <a:solidFill>
                <a:schemeClr val="tx1"/>
              </a:solidFill>
            </a:endParaRPr>
          </a:p>
        </c:rich>
      </c:tx>
      <c:layout>
        <c:manualLayout>
          <c:xMode val="edge"/>
          <c:yMode val="edge"/>
          <c:x val="0.35956767547925939"/>
          <c:y val="4.5751633986928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Pivot_Analysis!$A$4:$A$8</c:f>
              <c:strCache>
                <c:ptCount val="4"/>
                <c:pt idx="0">
                  <c:v>South</c:v>
                </c:pt>
                <c:pt idx="1">
                  <c:v>North</c:v>
                </c:pt>
                <c:pt idx="2">
                  <c:v>West</c:v>
                </c:pt>
                <c:pt idx="3">
                  <c:v>East</c:v>
                </c:pt>
              </c:strCache>
            </c:strRef>
          </c:cat>
          <c:val>
            <c:numRef>
              <c:f>Pivot_Analysis!$B$4:$B$8</c:f>
              <c:numCache>
                <c:formatCode>"₹"\ #,##0.00</c:formatCode>
                <c:ptCount val="4"/>
                <c:pt idx="0">
                  <c:v>1013927.2199999999</c:v>
                </c:pt>
                <c:pt idx="1">
                  <c:v>901418.07</c:v>
                </c:pt>
                <c:pt idx="2">
                  <c:v>855604.97999999986</c:v>
                </c:pt>
                <c:pt idx="3">
                  <c:v>784088.71000000008</c:v>
                </c:pt>
              </c:numCache>
            </c:numRef>
          </c:val>
          <c:extLst>
            <c:ext xmlns:c16="http://schemas.microsoft.com/office/drawing/2014/chart" uri="{C3380CC4-5D6E-409C-BE32-E72D297353CC}">
              <c16:uniqueId val="{00000000-41AB-475C-A1E7-81DF4BC41101}"/>
            </c:ext>
          </c:extLst>
        </c:ser>
        <c:dLbls>
          <c:showLegendKey val="0"/>
          <c:showVal val="0"/>
          <c:showCatName val="0"/>
          <c:showSerName val="0"/>
          <c:showPercent val="0"/>
          <c:showBubbleSize val="0"/>
        </c:dLbls>
        <c:gapWidth val="219"/>
        <c:overlap val="-27"/>
        <c:axId val="2132094703"/>
        <c:axId val="2132119183"/>
      </c:barChart>
      <c:catAx>
        <c:axId val="213209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119183"/>
        <c:crosses val="autoZero"/>
        <c:auto val="1"/>
        <c:lblAlgn val="ctr"/>
        <c:lblOffset val="100"/>
        <c:noMultiLvlLbl val="0"/>
      </c:catAx>
      <c:valAx>
        <c:axId val="2132119183"/>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09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[Retail_Sales_Dataset.xlsx]Pivot_Analysis!Monthly Trend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Monthly Sales Trend</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Pivot_Analysis!$H$3</c:f>
              <c:strCache>
                <c:ptCount val="1"/>
                <c:pt idx="0">
                  <c:v>Total</c:v>
                </c:pt>
              </c:strCache>
            </c:strRef>
          </c:tx>
          <c:spPr>
            <a:ln w="28575" cap="rnd">
              <a:solidFill>
                <a:schemeClr val="accent1"/>
              </a:solidFill>
              <a:round/>
            </a:ln>
            <a:effectLst/>
          </c:spPr>
          <c:marker>
            <c:symbol val="none"/>
          </c:marker>
          <c:cat>
            <c:strRef>
              <c:f>Pivot_Analysis!$G$4:$G$16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Pivot_Analysis!$H$4:$H$16</c:f>
              <c:numCache>
                <c:formatCode>"₹"\ #,##0.00</c:formatCode>
                <c:ptCount val="12"/>
                <c:pt idx="0">
                  <c:v>253501.55999999994</c:v>
                </c:pt>
                <c:pt idx="1">
                  <c:v>301507.01</c:v>
                </c:pt>
                <c:pt idx="2">
                  <c:v>310098.89</c:v>
                </c:pt>
                <c:pt idx="3">
                  <c:v>295877.99999999994</c:v>
                </c:pt>
                <c:pt idx="4">
                  <c:v>346424.07000000007</c:v>
                </c:pt>
                <c:pt idx="5">
                  <c:v>326259.66000000009</c:v>
                </c:pt>
                <c:pt idx="6">
                  <c:v>203270.6</c:v>
                </c:pt>
                <c:pt idx="7">
                  <c:v>408614.45999999996</c:v>
                </c:pt>
                <c:pt idx="8">
                  <c:v>284608.40000000002</c:v>
                </c:pt>
                <c:pt idx="9">
                  <c:v>314567.50000000006</c:v>
                </c:pt>
                <c:pt idx="10">
                  <c:v>230514.02000000008</c:v>
                </c:pt>
                <c:pt idx="11">
                  <c:v>279794.81</c:v>
                </c:pt>
              </c:numCache>
            </c:numRef>
          </c:val>
          <c:smooth val="0"/>
          <c:extLst>
            <c:ext xmlns:c16="http://schemas.microsoft.com/office/drawing/2014/chart" uri="{C3380CC4-5D6E-409C-BE32-E72D297353CC}">
              <c16:uniqueId val="{00000000-D879-4823-BF51-A6EE60816F21}"/>
            </c:ext>
          </c:extLst>
        </c:ser>
        <c:dLbls>
          <c:showLegendKey val="0"/>
          <c:showVal val="0"/>
          <c:showCatName val="0"/>
          <c:showSerName val="0"/>
          <c:showPercent val="0"/>
          <c:showBubbleSize val="0"/>
        </c:dLbls>
        <c:smooth val="0"/>
        <c:axId val="809250511"/>
        <c:axId val="809267311"/>
      </c:lineChart>
      <c:catAx>
        <c:axId val="80925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267311"/>
        <c:crosses val="autoZero"/>
        <c:auto val="1"/>
        <c:lblAlgn val="ctr"/>
        <c:lblOffset val="100"/>
        <c:noMultiLvlLbl val="0"/>
      </c:catAx>
      <c:valAx>
        <c:axId val="809267311"/>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25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[Retail_Sales_Dataset.xlsx]Pivot_Analysis!Top 5 Products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Product Performance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24557507234674"/>
          <c:y val="0.13798860234807431"/>
          <c:w val="0.70571115234222259"/>
          <c:h val="0.61974242132696034"/>
        </c:manualLayout>
      </c:layout>
      <c:barChart>
        <c:barDir val="bar"/>
        <c:grouping val="clustered"/>
        <c:varyColors val="0"/>
        <c:ser>
          <c:idx val="0"/>
          <c:order val="0"/>
          <c:tx>
            <c:strRef>
              <c:f>Pivot_Analysis!$E$3</c:f>
              <c:strCache>
                <c:ptCount val="1"/>
                <c:pt idx="0">
                  <c:v>Total</c:v>
                </c:pt>
              </c:strCache>
            </c:strRef>
          </c:tx>
          <c:spPr>
            <a:solidFill>
              <a:schemeClr val="accent1"/>
            </a:solidFill>
            <a:ln>
              <a:noFill/>
            </a:ln>
            <a:effectLst/>
          </c:spPr>
          <c:invertIfNegative val="0"/>
          <c:cat>
            <c:strRef>
              <c:f>Pivot_Analysis!$D$4:$D$8</c:f>
              <c:strCache>
                <c:ptCount val="5"/>
                <c:pt idx="0">
                  <c:v>Canon</c:v>
                </c:pt>
                <c:pt idx="1">
                  <c:v>Samsung Galaxy</c:v>
                </c:pt>
                <c:pt idx="2">
                  <c:v>Keyboard</c:v>
                </c:pt>
                <c:pt idx="3">
                  <c:v>iPhone</c:v>
                </c:pt>
                <c:pt idx="4">
                  <c:v>HP Printer</c:v>
                </c:pt>
              </c:strCache>
            </c:strRef>
          </c:cat>
          <c:val>
            <c:numRef>
              <c:f>Pivot_Analysis!$E$4:$E$8</c:f>
              <c:numCache>
                <c:formatCode>"₹"\ #,##0.00</c:formatCode>
                <c:ptCount val="5"/>
                <c:pt idx="0">
                  <c:v>308857.88999999996</c:v>
                </c:pt>
                <c:pt idx="1">
                  <c:v>314006.00000000006</c:v>
                </c:pt>
                <c:pt idx="2">
                  <c:v>323572.7699999999</c:v>
                </c:pt>
                <c:pt idx="3">
                  <c:v>333439.95999999996</c:v>
                </c:pt>
                <c:pt idx="4">
                  <c:v>375974.13000000006</c:v>
                </c:pt>
              </c:numCache>
            </c:numRef>
          </c:val>
          <c:extLst>
            <c:ext xmlns:c16="http://schemas.microsoft.com/office/drawing/2014/chart" uri="{C3380CC4-5D6E-409C-BE32-E72D297353CC}">
              <c16:uniqueId val="{00000001-6785-4B47-B550-1044117E1AC2}"/>
            </c:ext>
          </c:extLst>
        </c:ser>
        <c:dLbls>
          <c:showLegendKey val="0"/>
          <c:showVal val="0"/>
          <c:showCatName val="0"/>
          <c:showSerName val="0"/>
          <c:showPercent val="0"/>
          <c:showBubbleSize val="0"/>
        </c:dLbls>
        <c:gapWidth val="182"/>
        <c:axId val="809275471"/>
        <c:axId val="809273071"/>
      </c:barChart>
      <c:catAx>
        <c:axId val="80927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273071"/>
        <c:crosses val="autoZero"/>
        <c:auto val="1"/>
        <c:lblAlgn val="ctr"/>
        <c:lblOffset val="100"/>
        <c:noMultiLvlLbl val="0"/>
      </c:catAx>
      <c:valAx>
        <c:axId val="809273071"/>
        <c:scaling>
          <c:orientation val="minMax"/>
        </c:scaling>
        <c:delete val="0"/>
        <c:axPos val="b"/>
        <c:numFmt formatCode="&quot;₹&quot;\ #,##0" sourceLinked="0"/>
        <c:majorTickMark val="none"/>
        <c:minorTickMark val="none"/>
        <c:tickLblPos val="nextTo"/>
        <c:spPr>
          <a:noFill/>
          <a:ln>
            <a:noFill/>
          </a:ln>
          <a:effectLst/>
        </c:spPr>
        <c:txPr>
          <a:bodyPr rot="-540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80927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[Retail_Sales_Dataset.xlsx]Pivot_Analysis!Category Analysis</c:name>
    <c:fmtId val="2"/>
  </c:pivotSource>
  <c:chart>
    <c:title>
      <c:tx>
        <c:rich>
          <a:bodyPr rot="0" spcFirstLastPara="1" vertOverflow="ellipsis" vert="horz" wrap="square" anchor="ctr" anchorCtr="1"/>
          <a:lstStyle/>
          <a:p>
            <a:pPr algn="ctr" rtl="0">
              <a:defRPr lang="en-IN" sz="1600" b="1" i="0" u="none" strike="noStrike" kern="1200" spc="0" baseline="0">
                <a:solidFill>
                  <a:schemeClr val="tx1"/>
                </a:solidFill>
                <a:latin typeface="+mn-lt"/>
                <a:ea typeface="+mn-ea"/>
                <a:cs typeface="+mn-cs"/>
              </a:defRPr>
            </a:pPr>
            <a:r>
              <a:rPr lang="en-IN" sz="1600" b="1" i="0" u="none" strike="noStrike" kern="1200" spc="0" baseline="0">
                <a:solidFill>
                  <a:schemeClr val="tx1"/>
                </a:solidFill>
                <a:latin typeface="+mn-lt"/>
                <a:ea typeface="+mn-ea"/>
                <a:cs typeface="+mn-cs"/>
              </a:rPr>
              <a:t>Category Sales</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6744114677972946"/>
          <c:y val="0.16470833333333335"/>
          <c:w val="0.80032442098583834"/>
          <c:h val="0.60946555118110224"/>
        </c:manualLayout>
      </c:layout>
      <c:barChart>
        <c:barDir val="bar"/>
        <c:grouping val="clustered"/>
        <c:varyColors val="0"/>
        <c:ser>
          <c:idx val="0"/>
          <c:order val="0"/>
          <c:tx>
            <c:strRef>
              <c:f>Pivot_Analysis!$N$3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0199-4305-8AF3-1CB306D6A505}"/>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0199-4305-8AF3-1CB306D6A505}"/>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0199-4305-8AF3-1CB306D6A505}"/>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0199-4305-8AF3-1CB306D6A505}"/>
              </c:ext>
            </c:extLst>
          </c:dPt>
          <c:cat>
            <c:strRef>
              <c:f>Pivot_Analysis!$M$4:$M$7</c:f>
              <c:strCache>
                <c:ptCount val="4"/>
                <c:pt idx="0">
                  <c:v>Laptop</c:v>
                </c:pt>
                <c:pt idx="1">
                  <c:v>Accessories</c:v>
                </c:pt>
                <c:pt idx="2">
                  <c:v>Mobile</c:v>
                </c:pt>
                <c:pt idx="3">
                  <c:v>Printer</c:v>
                </c:pt>
              </c:strCache>
            </c:strRef>
          </c:cat>
          <c:val>
            <c:numRef>
              <c:f>Pivot_Analysis!$N$4:$N$7</c:f>
              <c:numCache>
                <c:formatCode>"₹"\ #,##0.00</c:formatCode>
                <c:ptCount val="4"/>
                <c:pt idx="0">
                  <c:v>840319.73000000021</c:v>
                </c:pt>
                <c:pt idx="1">
                  <c:v>857480.84999999986</c:v>
                </c:pt>
                <c:pt idx="2">
                  <c:v>895010.90999999968</c:v>
                </c:pt>
                <c:pt idx="3">
                  <c:v>962227.48999999964</c:v>
                </c:pt>
              </c:numCache>
            </c:numRef>
          </c:val>
          <c:extLst>
            <c:ext xmlns:c16="http://schemas.microsoft.com/office/drawing/2014/chart" uri="{C3380CC4-5D6E-409C-BE32-E72D297353CC}">
              <c16:uniqueId val="{00000009-0B3F-49A5-860E-C787FE24BAEE}"/>
            </c:ext>
          </c:extLst>
        </c:ser>
        <c:dLbls>
          <c:showLegendKey val="0"/>
          <c:showVal val="0"/>
          <c:showCatName val="0"/>
          <c:showSerName val="0"/>
          <c:showPercent val="0"/>
          <c:showBubbleSize val="0"/>
        </c:dLbls>
        <c:gapWidth val="100"/>
        <c:axId val="809289871"/>
        <c:axId val="809270671"/>
      </c:barChart>
      <c:valAx>
        <c:axId val="809270671"/>
        <c:scaling>
          <c:orientation val="minMax"/>
        </c:scaling>
        <c:delete val="0"/>
        <c:axPos val="b"/>
        <c:numFmt formatCode="&quot;₹&quot;\ #,##0" sourceLinked="0"/>
        <c:majorTickMark val="out"/>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289871"/>
        <c:crosses val="autoZero"/>
        <c:crossBetween val="between"/>
      </c:valAx>
      <c:catAx>
        <c:axId val="8092898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2706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7</xdr:row>
      <xdr:rowOff>9526</xdr:rowOff>
    </xdr:from>
    <xdr:to>
      <xdr:col>6</xdr:col>
      <xdr:colOff>600075</xdr:colOff>
      <xdr:row>17</xdr:row>
      <xdr:rowOff>180976</xdr:rowOff>
    </xdr:to>
    <xdr:graphicFrame macro="">
      <xdr:nvGraphicFramePr>
        <xdr:cNvPr id="2" name="Sales by Region">
          <a:extLst>
            <a:ext uri="{FF2B5EF4-FFF2-40B4-BE49-F238E27FC236}">
              <a16:creationId xmlns:a16="http://schemas.microsoft.com/office/drawing/2014/main" id="{BC54096E-306A-4514-BD89-B2319306B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7</xdr:row>
      <xdr:rowOff>1</xdr:rowOff>
    </xdr:from>
    <xdr:to>
      <xdr:col>14</xdr:col>
      <xdr:colOff>600075</xdr:colOff>
      <xdr:row>18</xdr:row>
      <xdr:rowOff>9525</xdr:rowOff>
    </xdr:to>
    <xdr:graphicFrame macro="">
      <xdr:nvGraphicFramePr>
        <xdr:cNvPr id="3" name="Monthly Sales Trend">
          <a:extLst>
            <a:ext uri="{FF2B5EF4-FFF2-40B4-BE49-F238E27FC236}">
              <a16:creationId xmlns:a16="http://schemas.microsoft.com/office/drawing/2014/main" id="{BA5B12E2-45B6-452A-8532-0E547E3C7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9525</xdr:rowOff>
    </xdr:from>
    <xdr:to>
      <xdr:col>7</xdr:col>
      <xdr:colOff>0</xdr:colOff>
      <xdr:row>30</xdr:row>
      <xdr:rowOff>0</xdr:rowOff>
    </xdr:to>
    <xdr:graphicFrame macro="">
      <xdr:nvGraphicFramePr>
        <xdr:cNvPr id="4" name="Product Performance">
          <a:extLst>
            <a:ext uri="{FF2B5EF4-FFF2-40B4-BE49-F238E27FC236}">
              <a16:creationId xmlns:a16="http://schemas.microsoft.com/office/drawing/2014/main" id="{0015A6EA-CB99-4DAB-9AE2-1361227C8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19</xdr:row>
      <xdr:rowOff>0</xdr:rowOff>
    </xdr:from>
    <xdr:to>
      <xdr:col>14</xdr:col>
      <xdr:colOff>609599</xdr:colOff>
      <xdr:row>30</xdr:row>
      <xdr:rowOff>19049</xdr:rowOff>
    </xdr:to>
    <xdr:graphicFrame macro="">
      <xdr:nvGraphicFramePr>
        <xdr:cNvPr id="5" name="Category Sales">
          <a:extLst>
            <a:ext uri="{FF2B5EF4-FFF2-40B4-BE49-F238E27FC236}">
              <a16:creationId xmlns:a16="http://schemas.microsoft.com/office/drawing/2014/main" id="{A9C6E7FB-91C8-43CF-8B3E-3CCC41794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31</xdr:row>
      <xdr:rowOff>1</xdr:rowOff>
    </xdr:from>
    <xdr:to>
      <xdr:col>3</xdr:col>
      <xdr:colOff>0</xdr:colOff>
      <xdr:row>39</xdr:row>
      <xdr:rowOff>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98936EA-47D3-43DD-9681-F9B478EA49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6048376"/>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31</xdr:row>
      <xdr:rowOff>9525</xdr:rowOff>
    </xdr:from>
    <xdr:to>
      <xdr:col>11</xdr:col>
      <xdr:colOff>0</xdr:colOff>
      <xdr:row>39</xdr:row>
      <xdr:rowOff>19050</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B5A1A27B-B860-4BD6-A2ED-EF6CBF5CB04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19349" y="6057900"/>
              <a:ext cx="4371975"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9524</xdr:colOff>
      <xdr:row>31</xdr:row>
      <xdr:rowOff>9525</xdr:rowOff>
    </xdr:from>
    <xdr:to>
      <xdr:col>15</xdr:col>
      <xdr:colOff>19049</xdr:colOff>
      <xdr:row>39</xdr:row>
      <xdr:rowOff>9524</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8747212D-AF4B-4991-BB4C-9DD9A981D6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324724" y="6057900"/>
              <a:ext cx="1838325"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457200</xdr:colOff>
      <xdr:row>40</xdr:row>
      <xdr:rowOff>19050</xdr:rowOff>
    </xdr:from>
    <xdr:ext cx="2581276" cy="1266825"/>
    <xdr:sp macro="" textlink="">
      <xdr:nvSpPr>
        <xdr:cNvPr id="9" name="TextBox 8">
          <a:extLst>
            <a:ext uri="{FF2B5EF4-FFF2-40B4-BE49-F238E27FC236}">
              <a16:creationId xmlns:a16="http://schemas.microsoft.com/office/drawing/2014/main" id="{C1D82568-941D-4F00-038F-9196D2F94E3B}"/>
            </a:ext>
          </a:extLst>
        </xdr:cNvPr>
        <xdr:cNvSpPr txBox="1"/>
      </xdr:nvSpPr>
      <xdr:spPr>
        <a:xfrm>
          <a:off x="6553200" y="7781925"/>
          <a:ext cx="2581276" cy="1266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t>Key Insights</a:t>
          </a:r>
          <a:br>
            <a:rPr lang="en-IN"/>
          </a:br>
          <a:br>
            <a:rPr lang="en-IN"/>
          </a:br>
          <a:r>
            <a:rPr lang="en-IN"/>
            <a:t>• South region generated highest sales.</a:t>
          </a:r>
          <a:br>
            <a:rPr lang="en-IN"/>
          </a:br>
          <a:r>
            <a:rPr lang="en-IN"/>
            <a:t>• HP Printer was the top-selling product.</a:t>
          </a:r>
          <a:br>
            <a:rPr lang="en-IN"/>
          </a:br>
          <a:r>
            <a:rPr lang="en-IN"/>
            <a:t>• August recorded highest monthly sales.</a:t>
          </a:r>
          <a:br>
            <a:rPr lang="en-IN"/>
          </a:br>
          <a:r>
            <a:rPr lang="en-IN"/>
            <a:t>• Profit margin remained around 22%.</a:t>
          </a:r>
          <a:endParaRPr lang="en-IN" sz="1100"/>
        </a:p>
      </xdr:txBody>
    </xdr:sp>
    <xdr:clientData/>
  </xdr:oneCellAnchor>
  <xdr:twoCellAnchor editAs="oneCell">
    <xdr:from>
      <xdr:col>0</xdr:col>
      <xdr:colOff>9525</xdr:colOff>
      <xdr:row>39</xdr:row>
      <xdr:rowOff>180525</xdr:rowOff>
    </xdr:from>
    <xdr:to>
      <xdr:col>9</xdr:col>
      <xdr:colOff>600075</xdr:colOff>
      <xdr:row>46</xdr:row>
      <xdr:rowOff>180975</xdr:rowOff>
    </xdr:to>
    <mc:AlternateContent xmlns:mc="http://schemas.openxmlformats.org/markup-compatibility/2006" xmlns:tsle="http://schemas.microsoft.com/office/drawing/2012/timeslicer">
      <mc:Choice Requires="tsle">
        <xdr:graphicFrame macro="">
          <xdr:nvGraphicFramePr>
            <xdr:cNvPr id="10" name="OrderDate">
              <a:extLst>
                <a:ext uri="{FF2B5EF4-FFF2-40B4-BE49-F238E27FC236}">
                  <a16:creationId xmlns:a16="http://schemas.microsoft.com/office/drawing/2014/main" id="{6C24D2F1-7BC7-4DB3-826B-DF4CFAE5F81D}"/>
                </a:ext>
              </a:extLst>
            </xdr:cNvPr>
            <xdr:cNvGraphicFramePr>
              <a:graphicFrameLocks/>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9525" y="7752900"/>
              <a:ext cx="6076950" cy="1276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0.476877314817" createdVersion="8" refreshedVersion="8" minRefreshableVersion="3" recordCount="1000" xr:uid="{8CFB1AE2-1C25-478B-9E25-5C2E6318D2AB}">
  <cacheSource type="worksheet">
    <worksheetSource name="SalesData"/>
  </cacheSource>
  <cacheFields count="9">
    <cacheField name="OrderID" numFmtId="0">
      <sharedItems/>
    </cacheField>
    <cacheField name="OrderDate" numFmtId="14">
      <sharedItems containsSemiMixedTypes="0" containsNonDate="0" containsDate="1" containsString="0" minDate="2025-01-01T00:00:00" maxDate="2026-01-01T00:00:00" count="340">
        <d v="2025-02-22T00:00:00"/>
        <d v="2025-11-05T00:00:00"/>
        <d v="2025-05-23T00:00:00"/>
        <d v="2025-06-22T00:00:00"/>
        <d v="2025-05-16T00:00:00"/>
        <d v="2025-10-10T00:00:00"/>
        <d v="2025-04-27T00:00:00"/>
        <d v="2025-07-06T00:00:00"/>
        <d v="2025-12-16T00:00:00"/>
        <d v="2025-11-24T00:00:00"/>
        <d v="2025-07-25T00:00:00"/>
        <d v="2025-12-02T00:00:00"/>
        <d v="2025-10-15T00:00:00"/>
        <d v="2025-03-12T00:00:00"/>
        <d v="2025-12-15T00:00:00"/>
        <d v="2025-05-09T00:00:00"/>
        <d v="2025-06-24T00:00:00"/>
        <d v="2025-05-15T00:00:00"/>
        <d v="2025-04-12T00:00:00"/>
        <d v="2025-01-01T00:00:00"/>
        <d v="2025-06-07T00:00:00"/>
        <d v="2025-09-06T00:00:00"/>
        <d v="2025-09-28T00:00:00"/>
        <d v="2025-12-10T00:00:00"/>
        <d v="2025-06-23T00:00:00"/>
        <d v="2025-01-31T00:00:00"/>
        <d v="2025-12-09T00:00:00"/>
        <d v="2025-10-23T00:00:00"/>
        <d v="2025-08-09T00:00:00"/>
        <d v="2025-12-01T00:00:00"/>
        <d v="2025-04-09T00:00:00"/>
        <d v="2025-02-08T00:00:00"/>
        <d v="2025-05-02T00:00:00"/>
        <d v="2025-08-21T00:00:00"/>
        <d v="2025-04-08T00:00:00"/>
        <d v="2025-06-10T00:00:00"/>
        <d v="2025-03-22T00:00:00"/>
        <d v="2025-05-01T00:00:00"/>
        <d v="2025-02-11T00:00:00"/>
        <d v="2025-02-07T00:00:00"/>
        <d v="2025-04-20T00:00:00"/>
        <d v="2025-06-03T00:00:00"/>
        <d v="2025-03-21T00:00:00"/>
        <d v="2025-11-21T00:00:00"/>
        <d v="2025-05-22T00:00:00"/>
        <d v="2025-08-15T00:00:00"/>
        <d v="2025-03-18T00:00:00"/>
        <d v="2025-07-01T00:00:00"/>
        <d v="2025-07-31T00:00:00"/>
        <d v="2025-08-29T00:00:00"/>
        <d v="2025-02-05T00:00:00"/>
        <d v="2025-10-02T00:00:00"/>
        <d v="2025-08-12T00:00:00"/>
        <d v="2025-11-16T00:00:00"/>
        <d v="2025-06-17T00:00:00"/>
        <d v="2025-07-14T00:00:00"/>
        <d v="2025-04-18T00:00:00"/>
        <d v="2025-08-31T00:00:00"/>
        <d v="2025-02-17T00:00:00"/>
        <d v="2025-09-01T00:00:00"/>
        <d v="2025-09-11T00:00:00"/>
        <d v="2025-02-24T00:00:00"/>
        <d v="2025-03-04T00:00:00"/>
        <d v="2025-11-23T00:00:00"/>
        <d v="2025-05-27T00:00:00"/>
        <d v="2025-03-19T00:00:00"/>
        <d v="2025-07-28T00:00:00"/>
        <d v="2025-10-27T00:00:00"/>
        <d v="2025-07-19T00:00:00"/>
        <d v="2025-11-15T00:00:00"/>
        <d v="2025-08-08T00:00:00"/>
        <d v="2025-05-10T00:00:00"/>
        <d v="2025-04-25T00:00:00"/>
        <d v="2025-03-20T00:00:00"/>
        <d v="2025-12-25T00:00:00"/>
        <d v="2025-02-28T00:00:00"/>
        <d v="2025-12-13T00:00:00"/>
        <d v="2025-11-18T00:00:00"/>
        <d v="2025-03-03T00:00:00"/>
        <d v="2025-11-28T00:00:00"/>
        <d v="2025-11-22T00:00:00"/>
        <d v="2025-05-19T00:00:00"/>
        <d v="2025-02-14T00:00:00"/>
        <d v="2025-05-13T00:00:00"/>
        <d v="2025-12-20T00:00:00"/>
        <d v="2025-12-21T00:00:00"/>
        <d v="2025-06-26T00:00:00"/>
        <d v="2025-05-25T00:00:00"/>
        <d v="2025-12-29T00:00:00"/>
        <d v="2025-03-06T00:00:00"/>
        <d v="2025-09-09T00:00:00"/>
        <d v="2025-02-13T00:00:00"/>
        <d v="2025-04-26T00:00:00"/>
        <d v="2025-06-06T00:00:00"/>
        <d v="2025-05-03T00:00:00"/>
        <d v="2025-08-06T00:00:00"/>
        <d v="2025-02-06T00:00:00"/>
        <d v="2025-05-28T00:00:00"/>
        <d v="2025-09-14T00:00:00"/>
        <d v="2025-06-15T00:00:00"/>
        <d v="2025-10-22T00:00:00"/>
        <d v="2025-09-23T00:00:00"/>
        <d v="2025-02-16T00:00:00"/>
        <d v="2025-03-24T00:00:00"/>
        <d v="2025-10-09T00:00:00"/>
        <d v="2025-07-26T00:00:00"/>
        <d v="2025-09-13T00:00:00"/>
        <d v="2025-08-13T00:00:00"/>
        <d v="2025-06-09T00:00:00"/>
        <d v="2025-08-25T00:00:00"/>
        <d v="2025-09-05T00:00:00"/>
        <d v="2025-11-03T00:00:00"/>
        <d v="2025-05-17T00:00:00"/>
        <d v="2025-12-04T00:00:00"/>
        <d v="2025-10-06T00:00:00"/>
        <d v="2025-07-16T00:00:00"/>
        <d v="2025-07-15T00:00:00"/>
        <d v="2025-06-19T00:00:00"/>
        <d v="2025-03-15T00:00:00"/>
        <d v="2025-09-07T00:00:00"/>
        <d v="2025-08-11T00:00:00"/>
        <d v="2025-01-24T00:00:00"/>
        <d v="2025-09-29T00:00:00"/>
        <d v="2025-11-14T00:00:00"/>
        <d v="2025-08-24T00:00:00"/>
        <d v="2025-06-04T00:00:00"/>
        <d v="2025-12-18T00:00:00"/>
        <d v="2025-11-27T00:00:00"/>
        <d v="2025-10-04T00:00:00"/>
        <d v="2025-06-01T00:00:00"/>
        <d v="2025-02-25T00:00:00"/>
        <d v="2025-11-09T00:00:00"/>
        <d v="2025-07-29T00:00:00"/>
        <d v="2025-02-19T00:00:00"/>
        <d v="2025-12-23T00:00:00"/>
        <d v="2025-05-24T00:00:00"/>
        <d v="2025-07-05T00:00:00"/>
        <d v="2025-01-11T00:00:00"/>
        <d v="2025-10-11T00:00:00"/>
        <d v="2025-11-02T00:00:00"/>
        <d v="2025-02-26T00:00:00"/>
        <d v="2025-09-15T00:00:00"/>
        <d v="2025-01-16T00:00:00"/>
        <d v="2025-08-16T00:00:00"/>
        <d v="2025-08-20T00:00:00"/>
        <d v="2025-07-10T00:00:00"/>
        <d v="2025-07-30T00:00:00"/>
        <d v="2025-06-30T00:00:00"/>
        <d v="2025-10-12T00:00:00"/>
        <d v="2025-03-14T00:00:00"/>
        <d v="2025-09-20T00:00:00"/>
        <d v="2025-04-15T00:00:00"/>
        <d v="2025-09-12T00:00:00"/>
        <d v="2025-10-14T00:00:00"/>
        <d v="2025-02-09T00:00:00"/>
        <d v="2025-09-26T00:00:00"/>
        <d v="2025-03-17T00:00:00"/>
        <d v="2025-10-24T00:00:00"/>
        <d v="2025-01-22T00:00:00"/>
        <d v="2025-02-01T00:00:00"/>
        <d v="2025-05-07T00:00:00"/>
        <d v="2025-06-21T00:00:00"/>
        <d v="2025-12-03T00:00:00"/>
        <d v="2025-06-08T00:00:00"/>
        <d v="2025-06-18T00:00:00"/>
        <d v="2025-09-27T00:00:00"/>
        <d v="2025-04-03T00:00:00"/>
        <d v="2025-09-22T00:00:00"/>
        <d v="2025-08-01T00:00:00"/>
        <d v="2025-07-11T00:00:00"/>
        <d v="2025-03-16T00:00:00"/>
        <d v="2025-12-28T00:00:00"/>
        <d v="2025-04-21T00:00:00"/>
        <d v="2025-02-23T00:00:00"/>
        <d v="2025-03-31T00:00:00"/>
        <d v="2025-08-23T00:00:00"/>
        <d v="2025-06-11T00:00:00"/>
        <d v="2025-08-17T00:00:00"/>
        <d v="2025-01-17T00:00:00"/>
        <d v="2025-04-06T00:00:00"/>
        <d v="2025-06-13T00:00:00"/>
        <d v="2025-03-13T00:00:00"/>
        <d v="2025-09-03T00:00:00"/>
        <d v="2025-03-05T00:00:00"/>
        <d v="2025-06-27T00:00:00"/>
        <d v="2025-03-29T00:00:00"/>
        <d v="2025-06-02T00:00:00"/>
        <d v="2025-08-26T00:00:00"/>
        <d v="2025-08-27T00:00:00"/>
        <d v="2025-01-12T00:00:00"/>
        <d v="2025-12-11T00:00:00"/>
        <d v="2025-04-10T00:00:00"/>
        <d v="2025-10-13T00:00:00"/>
        <d v="2025-07-08T00:00:00"/>
        <d v="2025-12-19T00:00:00"/>
        <d v="2025-10-26T00:00:00"/>
        <d v="2025-08-03T00:00:00"/>
        <d v="2025-08-30T00:00:00"/>
        <d v="2025-09-02T00:00:00"/>
        <d v="2025-05-21T00:00:00"/>
        <d v="2025-01-26T00:00:00"/>
        <d v="2025-02-21T00:00:00"/>
        <d v="2025-02-15T00:00:00"/>
        <d v="2025-01-19T00:00:00"/>
        <d v="2025-10-18T00:00:00"/>
        <d v="2025-09-10T00:00:00"/>
        <d v="2025-02-18T00:00:00"/>
        <d v="2025-01-06T00:00:00"/>
        <d v="2025-09-16T00:00:00"/>
        <d v="2025-03-09T00:00:00"/>
        <d v="2025-11-25T00:00:00"/>
        <d v="2025-07-12T00:00:00"/>
        <d v="2025-07-21T00:00:00"/>
        <d v="2025-04-07T00:00:00"/>
        <d v="2025-01-09T00:00:00"/>
        <d v="2025-04-22T00:00:00"/>
        <d v="2025-09-24T00:00:00"/>
        <d v="2025-10-03T00:00:00"/>
        <d v="2025-05-11T00:00:00"/>
        <d v="2025-01-08T00:00:00"/>
        <d v="2025-05-05T00:00:00"/>
        <d v="2025-02-20T00:00:00"/>
        <d v="2025-04-24T00:00:00"/>
        <d v="2025-08-02T00:00:00"/>
        <d v="2025-05-06T00:00:00"/>
        <d v="2025-09-08T00:00:00"/>
        <d v="2025-04-02T00:00:00"/>
        <d v="2025-10-17T00:00:00"/>
        <d v="2025-01-05T00:00:00"/>
        <d v="2025-02-10T00:00:00"/>
        <d v="2025-11-06T00:00:00"/>
        <d v="2025-12-31T00:00:00"/>
        <d v="2025-08-18T00:00:00"/>
        <d v="2025-05-18T00:00:00"/>
        <d v="2025-11-12T00:00:00"/>
        <d v="2025-06-20T00:00:00"/>
        <d v="2025-11-30T00:00:00"/>
        <d v="2025-08-05T00:00:00"/>
        <d v="2025-09-17T00:00:00"/>
        <d v="2025-09-19T00:00:00"/>
        <d v="2025-08-07T00:00:00"/>
        <d v="2025-07-22T00:00:00"/>
        <d v="2025-03-02T00:00:00"/>
        <d v="2025-07-18T00:00:00"/>
        <d v="2025-08-19T00:00:00"/>
        <d v="2025-05-30T00:00:00"/>
        <d v="2025-10-25T00:00:00"/>
        <d v="2025-02-02T00:00:00"/>
        <d v="2025-05-26T00:00:00"/>
        <d v="2025-01-25T00:00:00"/>
        <d v="2025-03-10T00:00:00"/>
        <d v="2025-08-14T00:00:00"/>
        <d v="2025-05-08T00:00:00"/>
        <d v="2025-08-04T00:00:00"/>
        <d v="2025-01-29T00:00:00"/>
        <d v="2025-03-25T00:00:00"/>
        <d v="2025-03-27T00:00:00"/>
        <d v="2025-12-12T00:00:00"/>
        <d v="2025-01-07T00:00:00"/>
        <d v="2025-10-16T00:00:00"/>
        <d v="2025-04-11T00:00:00"/>
        <d v="2025-03-08T00:00:00"/>
        <d v="2025-11-19T00:00:00"/>
        <d v="2025-04-30T00:00:00"/>
        <d v="2025-12-24T00:00:00"/>
        <d v="2025-11-11T00:00:00"/>
        <d v="2025-11-29T00:00:00"/>
        <d v="2025-07-02T00:00:00"/>
        <d v="2025-04-01T00:00:00"/>
        <d v="2025-11-10T00:00:00"/>
        <d v="2025-05-12T00:00:00"/>
        <d v="2025-12-27T00:00:00"/>
        <d v="2025-01-28T00:00:00"/>
        <d v="2025-12-05T00:00:00"/>
        <d v="2025-10-05T00:00:00"/>
        <d v="2025-01-18T00:00:00"/>
        <d v="2025-04-19T00:00:00"/>
        <d v="2025-04-14T00:00:00"/>
        <d v="2025-06-05T00:00:00"/>
        <d v="2025-08-22T00:00:00"/>
        <d v="2025-05-14T00:00:00"/>
        <d v="2025-11-04T00:00:00"/>
        <d v="2025-10-20T00:00:00"/>
        <d v="2025-03-07T00:00:00"/>
        <d v="2025-11-20T00:00:00"/>
        <d v="2025-03-28T00:00:00"/>
        <d v="2025-07-03T00:00:00"/>
        <d v="2025-11-01T00:00:00"/>
        <d v="2025-12-22T00:00:00"/>
        <d v="2025-11-07T00:00:00"/>
        <d v="2025-09-25T00:00:00"/>
        <d v="2025-08-10T00:00:00"/>
        <d v="2025-10-21T00:00:00"/>
        <d v="2025-03-26T00:00:00"/>
        <d v="2025-03-01T00:00:00"/>
        <d v="2025-09-21T00:00:00"/>
        <d v="2025-11-13T00:00:00"/>
        <d v="2025-10-08T00:00:00"/>
        <d v="2025-11-17T00:00:00"/>
        <d v="2025-05-29T00:00:00"/>
        <d v="2025-07-04T00:00:00"/>
        <d v="2025-07-13T00:00:00"/>
        <d v="2025-01-04T00:00:00"/>
        <d v="2025-02-12T00:00:00"/>
        <d v="2025-04-28T00:00:00"/>
        <d v="2025-01-20T00:00:00"/>
        <d v="2025-01-30T00:00:00"/>
        <d v="2025-06-25T00:00:00"/>
        <d v="2025-07-23T00:00:00"/>
        <d v="2025-12-30T00:00:00"/>
        <d v="2025-10-28T00:00:00"/>
        <d v="2025-12-06T00:00:00"/>
        <d v="2025-05-20T00:00:00"/>
        <d v="2025-12-08T00:00:00"/>
        <d v="2025-01-21T00:00:00"/>
        <d v="2025-01-10T00:00:00"/>
        <d v="2025-07-07T00:00:00"/>
        <d v="2025-12-26T00:00:00"/>
        <d v="2025-03-11T00:00:00"/>
        <d v="2025-06-14T00:00:00"/>
        <d v="2025-04-29T00:00:00"/>
        <d v="2025-04-05T00:00:00"/>
        <d v="2025-11-08T00:00:00"/>
        <d v="2025-10-30T00:00:00"/>
        <d v="2025-01-03T00:00:00"/>
        <d v="2025-04-17T00:00:00"/>
        <d v="2025-02-03T00:00:00"/>
        <d v="2025-12-14T00:00:00"/>
        <d v="2025-10-01T00:00:00"/>
        <d v="2025-10-31T00:00:00"/>
        <d v="2025-02-27T00:00:00"/>
        <d v="2025-09-30T00:00:00"/>
        <d v="2025-02-04T00:00:00"/>
        <d v="2025-04-23T00:00:00"/>
        <d v="2025-06-28T00:00:00"/>
        <d v="2025-01-15T00:00:00"/>
        <d v="2025-06-16T00:00:00"/>
        <d v="2025-01-13T00:00:00"/>
        <d v="2025-06-12T00:00:00"/>
        <d v="2025-12-17T00:00:00"/>
      </sharedItems>
      <fieldGroup par="8"/>
    </cacheField>
    <cacheField name="Region" numFmtId="0">
      <sharedItems count="4">
        <s v="North"/>
        <s v="East"/>
        <s v="South"/>
        <s v="West"/>
      </sharedItems>
    </cacheField>
    <cacheField name="Product" numFmtId="0">
      <sharedItems count="12">
        <s v="iPhone"/>
        <s v="Canon"/>
        <s v="Lenovo"/>
        <s v="Samsung Galaxy"/>
        <s v="HP Printer"/>
        <s v="Headset"/>
        <s v="Keyboard"/>
        <s v="Mouse"/>
        <s v="OnePlus"/>
        <s v="Dell"/>
        <s v="HP"/>
        <s v="Epson"/>
      </sharedItems>
    </cacheField>
    <cacheField name="Category" numFmtId="0">
      <sharedItems count="4">
        <s v="Mobile"/>
        <s v="Printer"/>
        <s v="Laptop"/>
        <s v="Accessories"/>
      </sharedItems>
    </cacheField>
    <cacheField name="Quantity" numFmtId="2">
      <sharedItems containsSemiMixedTypes="0" containsString="0" containsNumber="1" containsInteger="1" minValue="1" maxValue="10"/>
    </cacheField>
    <cacheField name="Sales" numFmtId="2">
      <sharedItems containsSemiMixedTypes="0" containsString="0" containsNumber="1" minValue="55.42" maxValue="11955.11"/>
    </cacheField>
    <cacheField name="Profit" numFmtId="2">
      <sharedItems containsSemiMixedTypes="0" containsString="0" containsNumber="1" minValue="8.1" maxValue="3892.27"/>
    </cacheField>
    <cacheField name="Months (Order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964463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x v="0"/>
    <x v="0"/>
    <x v="0"/>
    <x v="0"/>
    <n v="5"/>
    <n v="1658.13"/>
    <n v="195.12"/>
  </r>
  <r>
    <s v="ORD0002"/>
    <x v="1"/>
    <x v="0"/>
    <x v="1"/>
    <x v="1"/>
    <n v="1"/>
    <n v="157.75"/>
    <n v="22.53"/>
  </r>
  <r>
    <s v="ORD0003"/>
    <x v="2"/>
    <x v="0"/>
    <x v="2"/>
    <x v="2"/>
    <n v="9"/>
    <n v="4792.03"/>
    <n v="964.57"/>
  </r>
  <r>
    <s v="ORD0004"/>
    <x v="3"/>
    <x v="0"/>
    <x v="2"/>
    <x v="2"/>
    <n v="7"/>
    <n v="3089.02"/>
    <n v="376.8"/>
  </r>
  <r>
    <s v="ORD0005"/>
    <x v="4"/>
    <x v="0"/>
    <x v="3"/>
    <x v="0"/>
    <n v="2"/>
    <n v="925.65"/>
    <n v="160.02000000000001"/>
  </r>
  <r>
    <s v="ORD0006"/>
    <x v="5"/>
    <x v="1"/>
    <x v="4"/>
    <x v="1"/>
    <n v="2"/>
    <n v="2338.17"/>
    <n v="426.02"/>
  </r>
  <r>
    <s v="ORD0007"/>
    <x v="6"/>
    <x v="1"/>
    <x v="5"/>
    <x v="3"/>
    <n v="4"/>
    <n v="3441.03"/>
    <n v="317.86"/>
  </r>
  <r>
    <s v="ORD0008"/>
    <x v="7"/>
    <x v="2"/>
    <x v="0"/>
    <x v="0"/>
    <n v="2"/>
    <n v="974.29"/>
    <n v="197.22"/>
  </r>
  <r>
    <s v="ORD0009"/>
    <x v="8"/>
    <x v="0"/>
    <x v="6"/>
    <x v="3"/>
    <n v="4"/>
    <n v="3282.81"/>
    <n v="884.69"/>
  </r>
  <r>
    <s v="ORD0010"/>
    <x v="9"/>
    <x v="2"/>
    <x v="2"/>
    <x v="2"/>
    <n v="4"/>
    <n v="951.65"/>
    <n v="173.63"/>
  </r>
  <r>
    <s v="ORD0011"/>
    <x v="10"/>
    <x v="1"/>
    <x v="7"/>
    <x v="3"/>
    <n v="4"/>
    <n v="3980.29"/>
    <n v="1183.5899999999999"/>
  </r>
  <r>
    <s v="ORD0012"/>
    <x v="11"/>
    <x v="3"/>
    <x v="0"/>
    <x v="0"/>
    <n v="10"/>
    <n v="10578.23"/>
    <n v="1745.02"/>
  </r>
  <r>
    <s v="ORD0013"/>
    <x v="12"/>
    <x v="1"/>
    <x v="4"/>
    <x v="1"/>
    <n v="8"/>
    <n v="1714.42"/>
    <n v="201.79"/>
  </r>
  <r>
    <s v="ORD0014"/>
    <x v="13"/>
    <x v="3"/>
    <x v="4"/>
    <x v="1"/>
    <n v="7"/>
    <n v="3264.07"/>
    <n v="1140.07"/>
  </r>
  <r>
    <s v="ORD0015"/>
    <x v="14"/>
    <x v="3"/>
    <x v="0"/>
    <x v="0"/>
    <n v="2"/>
    <n v="451.54"/>
    <n v="55.63"/>
  </r>
  <r>
    <s v="ORD0016"/>
    <x v="15"/>
    <x v="0"/>
    <x v="3"/>
    <x v="0"/>
    <n v="7"/>
    <n v="5146.8999999999996"/>
    <n v="1062.18"/>
  </r>
  <r>
    <s v="ORD0017"/>
    <x v="16"/>
    <x v="0"/>
    <x v="8"/>
    <x v="0"/>
    <n v="9"/>
    <n v="8221.59"/>
    <n v="2363.89"/>
  </r>
  <r>
    <s v="ORD0018"/>
    <x v="17"/>
    <x v="2"/>
    <x v="6"/>
    <x v="3"/>
    <n v="3"/>
    <n v="1715.35"/>
    <n v="578.98"/>
  </r>
  <r>
    <s v="ORD0019"/>
    <x v="18"/>
    <x v="2"/>
    <x v="8"/>
    <x v="0"/>
    <n v="5"/>
    <n v="5089.6000000000004"/>
    <n v="1104.79"/>
  </r>
  <r>
    <s v="ORD0020"/>
    <x v="19"/>
    <x v="1"/>
    <x v="7"/>
    <x v="3"/>
    <n v="9"/>
    <n v="10318.719999999999"/>
    <n v="3395.45"/>
  </r>
  <r>
    <s v="ORD0021"/>
    <x v="20"/>
    <x v="2"/>
    <x v="1"/>
    <x v="1"/>
    <n v="2"/>
    <n v="2236.9299999999998"/>
    <n v="709.68"/>
  </r>
  <r>
    <s v="ORD0022"/>
    <x v="21"/>
    <x v="0"/>
    <x v="0"/>
    <x v="0"/>
    <n v="10"/>
    <n v="11389.92"/>
    <n v="1174.5999999999999"/>
  </r>
  <r>
    <s v="ORD0023"/>
    <x v="22"/>
    <x v="3"/>
    <x v="9"/>
    <x v="2"/>
    <n v="8"/>
    <n v="9111.01"/>
    <n v="1135.0899999999999"/>
  </r>
  <r>
    <s v="ORD0024"/>
    <x v="23"/>
    <x v="1"/>
    <x v="2"/>
    <x v="2"/>
    <n v="4"/>
    <n v="3479.57"/>
    <n v="653.21"/>
  </r>
  <r>
    <s v="ORD0025"/>
    <x v="24"/>
    <x v="0"/>
    <x v="4"/>
    <x v="1"/>
    <n v="8"/>
    <n v="1513.24"/>
    <n v="212.86"/>
  </r>
  <r>
    <s v="ORD0026"/>
    <x v="25"/>
    <x v="2"/>
    <x v="2"/>
    <x v="2"/>
    <n v="4"/>
    <n v="233.08"/>
    <n v="63.19"/>
  </r>
  <r>
    <s v="ORD0027"/>
    <x v="26"/>
    <x v="3"/>
    <x v="0"/>
    <x v="0"/>
    <n v="6"/>
    <n v="788.92"/>
    <n v="113.81"/>
  </r>
  <r>
    <s v="ORD0028"/>
    <x v="27"/>
    <x v="3"/>
    <x v="2"/>
    <x v="2"/>
    <n v="3"/>
    <n v="2645.57"/>
    <n v="841.94"/>
  </r>
  <r>
    <s v="ORD0029"/>
    <x v="28"/>
    <x v="1"/>
    <x v="10"/>
    <x v="2"/>
    <n v="7"/>
    <n v="1882.8"/>
    <n v="199.9"/>
  </r>
  <r>
    <s v="ORD0030"/>
    <x v="29"/>
    <x v="0"/>
    <x v="11"/>
    <x v="1"/>
    <n v="8"/>
    <n v="8347.2999999999993"/>
    <n v="789.87"/>
  </r>
  <r>
    <s v="ORD0031"/>
    <x v="30"/>
    <x v="2"/>
    <x v="3"/>
    <x v="0"/>
    <n v="6"/>
    <n v="5824.09"/>
    <n v="637.75"/>
  </r>
  <r>
    <s v="ORD0032"/>
    <x v="31"/>
    <x v="3"/>
    <x v="1"/>
    <x v="1"/>
    <n v="7"/>
    <n v="1827.08"/>
    <n v="374.39"/>
  </r>
  <r>
    <s v="ORD0033"/>
    <x v="32"/>
    <x v="2"/>
    <x v="0"/>
    <x v="0"/>
    <n v="9"/>
    <n v="9102.89"/>
    <n v="3109.81"/>
  </r>
  <r>
    <s v="ORD0034"/>
    <x v="25"/>
    <x v="2"/>
    <x v="11"/>
    <x v="1"/>
    <n v="8"/>
    <n v="2366.48"/>
    <n v="445.56"/>
  </r>
  <r>
    <s v="ORD0035"/>
    <x v="33"/>
    <x v="1"/>
    <x v="1"/>
    <x v="1"/>
    <n v="7"/>
    <n v="2484.88"/>
    <n v="724.84"/>
  </r>
  <r>
    <s v="ORD0036"/>
    <x v="34"/>
    <x v="1"/>
    <x v="4"/>
    <x v="1"/>
    <n v="9"/>
    <n v="7300.37"/>
    <n v="1543.31"/>
  </r>
  <r>
    <s v="ORD0037"/>
    <x v="35"/>
    <x v="0"/>
    <x v="9"/>
    <x v="2"/>
    <n v="10"/>
    <n v="8960.98"/>
    <n v="864.36"/>
  </r>
  <r>
    <s v="ORD0038"/>
    <x v="36"/>
    <x v="0"/>
    <x v="8"/>
    <x v="0"/>
    <n v="8"/>
    <n v="5026.22"/>
    <n v="1559.31"/>
  </r>
  <r>
    <s v="ORD0039"/>
    <x v="37"/>
    <x v="3"/>
    <x v="0"/>
    <x v="0"/>
    <n v="2"/>
    <n v="1468.58"/>
    <n v="385.22"/>
  </r>
  <r>
    <s v="ORD0040"/>
    <x v="38"/>
    <x v="3"/>
    <x v="8"/>
    <x v="0"/>
    <n v="4"/>
    <n v="2863.03"/>
    <n v="259.76"/>
  </r>
  <r>
    <s v="ORD0041"/>
    <x v="4"/>
    <x v="3"/>
    <x v="6"/>
    <x v="3"/>
    <n v="4"/>
    <n v="3280.74"/>
    <n v="540.76"/>
  </r>
  <r>
    <s v="ORD0042"/>
    <x v="39"/>
    <x v="0"/>
    <x v="2"/>
    <x v="2"/>
    <n v="5"/>
    <n v="2879.04"/>
    <n v="952.49"/>
  </r>
  <r>
    <s v="ORD0043"/>
    <x v="40"/>
    <x v="1"/>
    <x v="4"/>
    <x v="1"/>
    <n v="10"/>
    <n v="11955.11"/>
    <n v="1192.8900000000001"/>
  </r>
  <r>
    <s v="ORD0044"/>
    <x v="36"/>
    <x v="3"/>
    <x v="10"/>
    <x v="2"/>
    <n v="2"/>
    <n v="2122.3200000000002"/>
    <n v="381.53"/>
  </r>
  <r>
    <s v="ORD0045"/>
    <x v="41"/>
    <x v="0"/>
    <x v="5"/>
    <x v="3"/>
    <n v="9"/>
    <n v="530.97"/>
    <n v="159.62"/>
  </r>
  <r>
    <s v="ORD0046"/>
    <x v="42"/>
    <x v="1"/>
    <x v="10"/>
    <x v="2"/>
    <n v="2"/>
    <n v="2146.34"/>
    <n v="601.95000000000005"/>
  </r>
  <r>
    <s v="ORD0047"/>
    <x v="43"/>
    <x v="1"/>
    <x v="5"/>
    <x v="3"/>
    <n v="4"/>
    <n v="3501.02"/>
    <n v="472.54"/>
  </r>
  <r>
    <s v="ORD0048"/>
    <x v="44"/>
    <x v="0"/>
    <x v="11"/>
    <x v="1"/>
    <n v="1"/>
    <n v="156.13999999999999"/>
    <n v="30.35"/>
  </r>
  <r>
    <s v="ORD0049"/>
    <x v="45"/>
    <x v="3"/>
    <x v="3"/>
    <x v="0"/>
    <n v="3"/>
    <n v="2348.04"/>
    <n v="353.92"/>
  </r>
  <r>
    <s v="ORD0050"/>
    <x v="46"/>
    <x v="0"/>
    <x v="0"/>
    <x v="0"/>
    <n v="2"/>
    <n v="2273.62"/>
    <n v="606.09"/>
  </r>
  <r>
    <s v="ORD0051"/>
    <x v="20"/>
    <x v="1"/>
    <x v="5"/>
    <x v="3"/>
    <n v="9"/>
    <n v="1982.77"/>
    <n v="226.85"/>
  </r>
  <r>
    <s v="ORD0052"/>
    <x v="47"/>
    <x v="3"/>
    <x v="3"/>
    <x v="0"/>
    <n v="4"/>
    <n v="3337.51"/>
    <n v="867.99"/>
  </r>
  <r>
    <s v="ORD0053"/>
    <x v="48"/>
    <x v="0"/>
    <x v="9"/>
    <x v="2"/>
    <n v="3"/>
    <n v="3517.91"/>
    <n v="1051.53"/>
  </r>
  <r>
    <s v="ORD0054"/>
    <x v="26"/>
    <x v="2"/>
    <x v="2"/>
    <x v="2"/>
    <n v="6"/>
    <n v="5698.47"/>
    <n v="1089.33"/>
  </r>
  <r>
    <s v="ORD0055"/>
    <x v="49"/>
    <x v="2"/>
    <x v="7"/>
    <x v="3"/>
    <n v="2"/>
    <n v="979.85"/>
    <n v="88.63"/>
  </r>
  <r>
    <s v="ORD0056"/>
    <x v="6"/>
    <x v="2"/>
    <x v="10"/>
    <x v="2"/>
    <n v="6"/>
    <n v="2405.8200000000002"/>
    <n v="709.1"/>
  </r>
  <r>
    <s v="ORD0057"/>
    <x v="50"/>
    <x v="1"/>
    <x v="8"/>
    <x v="0"/>
    <n v="4"/>
    <n v="2032.94"/>
    <n v="315.56"/>
  </r>
  <r>
    <s v="ORD0058"/>
    <x v="51"/>
    <x v="1"/>
    <x v="5"/>
    <x v="3"/>
    <n v="9"/>
    <n v="4586.67"/>
    <n v="1581.99"/>
  </r>
  <r>
    <s v="ORD0059"/>
    <x v="4"/>
    <x v="0"/>
    <x v="0"/>
    <x v="0"/>
    <n v="5"/>
    <n v="1276.76"/>
    <n v="433.95"/>
  </r>
  <r>
    <s v="ORD0060"/>
    <x v="52"/>
    <x v="0"/>
    <x v="8"/>
    <x v="0"/>
    <n v="7"/>
    <n v="3132.78"/>
    <n v="915.82"/>
  </r>
  <r>
    <s v="ORD0061"/>
    <x v="19"/>
    <x v="2"/>
    <x v="4"/>
    <x v="1"/>
    <n v="4"/>
    <n v="1371.72"/>
    <n v="372.25"/>
  </r>
  <r>
    <s v="ORD0062"/>
    <x v="53"/>
    <x v="1"/>
    <x v="6"/>
    <x v="3"/>
    <n v="2"/>
    <n v="2282.41"/>
    <n v="750.02"/>
  </r>
  <r>
    <s v="ORD0063"/>
    <x v="54"/>
    <x v="3"/>
    <x v="8"/>
    <x v="0"/>
    <n v="5"/>
    <n v="3165.95"/>
    <n v="823.34"/>
  </r>
  <r>
    <s v="ORD0064"/>
    <x v="55"/>
    <x v="2"/>
    <x v="5"/>
    <x v="3"/>
    <n v="3"/>
    <n v="811.85"/>
    <n v="210.7"/>
  </r>
  <r>
    <s v="ORD0065"/>
    <x v="56"/>
    <x v="3"/>
    <x v="6"/>
    <x v="3"/>
    <n v="9"/>
    <n v="9079.06"/>
    <n v="1471.23"/>
  </r>
  <r>
    <s v="ORD0066"/>
    <x v="57"/>
    <x v="2"/>
    <x v="6"/>
    <x v="3"/>
    <n v="8"/>
    <n v="4467.87"/>
    <n v="615.22"/>
  </r>
  <r>
    <s v="ORD0067"/>
    <x v="58"/>
    <x v="2"/>
    <x v="3"/>
    <x v="0"/>
    <n v="9"/>
    <n v="7320.89"/>
    <n v="1809.73"/>
  </r>
  <r>
    <s v="ORD0068"/>
    <x v="59"/>
    <x v="0"/>
    <x v="7"/>
    <x v="3"/>
    <n v="4"/>
    <n v="877.83"/>
    <n v="81.180000000000007"/>
  </r>
  <r>
    <s v="ORD0069"/>
    <x v="60"/>
    <x v="3"/>
    <x v="11"/>
    <x v="1"/>
    <n v="10"/>
    <n v="2736.01"/>
    <n v="733.29"/>
  </r>
  <r>
    <s v="ORD0070"/>
    <x v="61"/>
    <x v="3"/>
    <x v="9"/>
    <x v="2"/>
    <n v="1"/>
    <n v="1076.56"/>
    <n v="336.23"/>
  </r>
  <r>
    <s v="ORD0071"/>
    <x v="62"/>
    <x v="3"/>
    <x v="9"/>
    <x v="2"/>
    <n v="9"/>
    <n v="5258.09"/>
    <n v="1211.99"/>
  </r>
  <r>
    <s v="ORD0072"/>
    <x v="45"/>
    <x v="3"/>
    <x v="10"/>
    <x v="2"/>
    <n v="9"/>
    <n v="10674.69"/>
    <n v="2570.17"/>
  </r>
  <r>
    <s v="ORD0073"/>
    <x v="63"/>
    <x v="1"/>
    <x v="1"/>
    <x v="1"/>
    <n v="8"/>
    <n v="4540.6400000000003"/>
    <n v="1284.9100000000001"/>
  </r>
  <r>
    <s v="ORD0074"/>
    <x v="64"/>
    <x v="2"/>
    <x v="4"/>
    <x v="1"/>
    <n v="4"/>
    <n v="1463.15"/>
    <n v="147.66"/>
  </r>
  <r>
    <s v="ORD0075"/>
    <x v="65"/>
    <x v="2"/>
    <x v="6"/>
    <x v="3"/>
    <n v="6"/>
    <n v="6461.89"/>
    <n v="657.54"/>
  </r>
  <r>
    <s v="ORD0076"/>
    <x v="66"/>
    <x v="1"/>
    <x v="4"/>
    <x v="1"/>
    <n v="3"/>
    <n v="2587.15"/>
    <n v="251.84"/>
  </r>
  <r>
    <s v="ORD0077"/>
    <x v="67"/>
    <x v="0"/>
    <x v="11"/>
    <x v="1"/>
    <n v="1"/>
    <n v="287.86"/>
    <n v="55.68"/>
  </r>
  <r>
    <s v="ORD0078"/>
    <x v="68"/>
    <x v="3"/>
    <x v="11"/>
    <x v="1"/>
    <n v="1"/>
    <n v="1134.1500000000001"/>
    <n v="182.17"/>
  </r>
  <r>
    <s v="ORD0079"/>
    <x v="68"/>
    <x v="1"/>
    <x v="10"/>
    <x v="2"/>
    <n v="4"/>
    <n v="1455.5"/>
    <n v="307.29000000000002"/>
  </r>
  <r>
    <s v="ORD0080"/>
    <x v="69"/>
    <x v="0"/>
    <x v="4"/>
    <x v="1"/>
    <n v="3"/>
    <n v="3049.74"/>
    <n v="1001.16"/>
  </r>
  <r>
    <s v="ORD0081"/>
    <x v="70"/>
    <x v="2"/>
    <x v="4"/>
    <x v="1"/>
    <n v="10"/>
    <n v="8124.5"/>
    <n v="834.11"/>
  </r>
  <r>
    <s v="ORD0082"/>
    <x v="33"/>
    <x v="1"/>
    <x v="1"/>
    <x v="1"/>
    <n v="1"/>
    <n v="349.18"/>
    <n v="58.8"/>
  </r>
  <r>
    <s v="ORD0083"/>
    <x v="71"/>
    <x v="0"/>
    <x v="6"/>
    <x v="3"/>
    <n v="5"/>
    <n v="4574.0600000000004"/>
    <n v="1393.35"/>
  </r>
  <r>
    <s v="ORD0084"/>
    <x v="72"/>
    <x v="0"/>
    <x v="1"/>
    <x v="1"/>
    <n v="9"/>
    <n v="989.09"/>
    <n v="333.34"/>
  </r>
  <r>
    <s v="ORD0085"/>
    <x v="73"/>
    <x v="2"/>
    <x v="0"/>
    <x v="0"/>
    <n v="4"/>
    <n v="1117.06"/>
    <n v="95.51"/>
  </r>
  <r>
    <s v="ORD0086"/>
    <x v="74"/>
    <x v="1"/>
    <x v="10"/>
    <x v="2"/>
    <n v="2"/>
    <n v="1397.13"/>
    <n v="193.99"/>
  </r>
  <r>
    <s v="ORD0087"/>
    <x v="75"/>
    <x v="2"/>
    <x v="7"/>
    <x v="3"/>
    <n v="10"/>
    <n v="7483.35"/>
    <n v="2109.86"/>
  </r>
  <r>
    <s v="ORD0088"/>
    <x v="76"/>
    <x v="3"/>
    <x v="7"/>
    <x v="3"/>
    <n v="10"/>
    <n v="795.3"/>
    <n v="130.61000000000001"/>
  </r>
  <r>
    <s v="ORD0089"/>
    <x v="77"/>
    <x v="2"/>
    <x v="4"/>
    <x v="1"/>
    <n v="4"/>
    <n v="549.58000000000004"/>
    <n v="146.44"/>
  </r>
  <r>
    <s v="ORD0090"/>
    <x v="78"/>
    <x v="0"/>
    <x v="8"/>
    <x v="0"/>
    <n v="5"/>
    <n v="5139.1899999999996"/>
    <n v="1244.26"/>
  </r>
  <r>
    <s v="ORD0091"/>
    <x v="79"/>
    <x v="1"/>
    <x v="5"/>
    <x v="3"/>
    <n v="7"/>
    <n v="5675.25"/>
    <n v="559.67999999999995"/>
  </r>
  <r>
    <s v="ORD0092"/>
    <x v="80"/>
    <x v="3"/>
    <x v="3"/>
    <x v="0"/>
    <n v="8"/>
    <n v="1370.96"/>
    <n v="465.32"/>
  </r>
  <r>
    <s v="ORD0093"/>
    <x v="81"/>
    <x v="3"/>
    <x v="10"/>
    <x v="2"/>
    <n v="3"/>
    <n v="2681.59"/>
    <n v="913.56"/>
  </r>
  <r>
    <s v="ORD0094"/>
    <x v="82"/>
    <x v="1"/>
    <x v="11"/>
    <x v="1"/>
    <n v="10"/>
    <n v="3586.55"/>
    <n v="1111.7"/>
  </r>
  <r>
    <s v="ORD0095"/>
    <x v="3"/>
    <x v="0"/>
    <x v="1"/>
    <x v="1"/>
    <n v="8"/>
    <n v="5642.62"/>
    <n v="1469.4"/>
  </r>
  <r>
    <s v="ORD0096"/>
    <x v="83"/>
    <x v="1"/>
    <x v="11"/>
    <x v="1"/>
    <n v="3"/>
    <n v="1832.05"/>
    <n v="322.08"/>
  </r>
  <r>
    <s v="ORD0097"/>
    <x v="34"/>
    <x v="0"/>
    <x v="5"/>
    <x v="3"/>
    <n v="5"/>
    <n v="3445.8"/>
    <n v="756.32"/>
  </r>
  <r>
    <s v="ORD0098"/>
    <x v="84"/>
    <x v="3"/>
    <x v="2"/>
    <x v="2"/>
    <n v="7"/>
    <n v="4283.05"/>
    <n v="1219.4000000000001"/>
  </r>
  <r>
    <s v="ORD0099"/>
    <x v="85"/>
    <x v="2"/>
    <x v="11"/>
    <x v="1"/>
    <n v="1"/>
    <n v="157.01"/>
    <n v="21.95"/>
  </r>
  <r>
    <s v="ORD0100"/>
    <x v="86"/>
    <x v="3"/>
    <x v="5"/>
    <x v="3"/>
    <n v="10"/>
    <n v="4743.74"/>
    <n v="1088.3900000000001"/>
  </r>
  <r>
    <s v="ORD0101"/>
    <x v="78"/>
    <x v="2"/>
    <x v="6"/>
    <x v="3"/>
    <n v="8"/>
    <n v="2892.43"/>
    <n v="427.73"/>
  </r>
  <r>
    <s v="ORD0102"/>
    <x v="30"/>
    <x v="2"/>
    <x v="7"/>
    <x v="3"/>
    <n v="9"/>
    <n v="10291.58"/>
    <n v="2741.1"/>
  </r>
  <r>
    <s v="ORD0103"/>
    <x v="87"/>
    <x v="0"/>
    <x v="11"/>
    <x v="1"/>
    <n v="10"/>
    <n v="11730.98"/>
    <n v="2600.19"/>
  </r>
  <r>
    <s v="ORD0104"/>
    <x v="88"/>
    <x v="2"/>
    <x v="10"/>
    <x v="2"/>
    <n v="4"/>
    <n v="1860.05"/>
    <n v="300.61"/>
  </r>
  <r>
    <s v="ORD0105"/>
    <x v="89"/>
    <x v="3"/>
    <x v="7"/>
    <x v="3"/>
    <n v="1"/>
    <n v="686.36"/>
    <n v="184.15"/>
  </r>
  <r>
    <s v="ORD0106"/>
    <x v="16"/>
    <x v="2"/>
    <x v="0"/>
    <x v="0"/>
    <n v="10"/>
    <n v="3769.9"/>
    <n v="788.86"/>
  </r>
  <r>
    <s v="ORD0107"/>
    <x v="90"/>
    <x v="0"/>
    <x v="3"/>
    <x v="0"/>
    <n v="8"/>
    <n v="1449.6"/>
    <n v="141.54"/>
  </r>
  <r>
    <s v="ORD0108"/>
    <x v="91"/>
    <x v="2"/>
    <x v="0"/>
    <x v="0"/>
    <n v="3"/>
    <n v="2948.44"/>
    <n v="991.45"/>
  </r>
  <r>
    <s v="ORD0109"/>
    <x v="92"/>
    <x v="3"/>
    <x v="8"/>
    <x v="0"/>
    <n v="7"/>
    <n v="5230.8599999999997"/>
    <n v="1535.26"/>
  </r>
  <r>
    <s v="ORD0110"/>
    <x v="93"/>
    <x v="0"/>
    <x v="11"/>
    <x v="1"/>
    <n v="5"/>
    <n v="5195.96"/>
    <n v="1804.6"/>
  </r>
  <r>
    <s v="ORD0111"/>
    <x v="94"/>
    <x v="2"/>
    <x v="0"/>
    <x v="0"/>
    <n v="4"/>
    <n v="1417.37"/>
    <n v="144.46"/>
  </r>
  <r>
    <s v="ORD0112"/>
    <x v="49"/>
    <x v="1"/>
    <x v="0"/>
    <x v="0"/>
    <n v="1"/>
    <n v="519.79999999999995"/>
    <n v="138.33000000000001"/>
  </r>
  <r>
    <s v="ORD0113"/>
    <x v="33"/>
    <x v="0"/>
    <x v="0"/>
    <x v="0"/>
    <n v="5"/>
    <n v="4315"/>
    <n v="1164.22"/>
  </r>
  <r>
    <s v="ORD0114"/>
    <x v="95"/>
    <x v="0"/>
    <x v="10"/>
    <x v="2"/>
    <n v="10"/>
    <n v="8103.6"/>
    <n v="2691.13"/>
  </r>
  <r>
    <s v="ORD0115"/>
    <x v="96"/>
    <x v="0"/>
    <x v="2"/>
    <x v="2"/>
    <n v="3"/>
    <n v="3284.02"/>
    <n v="995.68"/>
  </r>
  <r>
    <s v="ORD0116"/>
    <x v="97"/>
    <x v="3"/>
    <x v="10"/>
    <x v="2"/>
    <n v="10"/>
    <n v="9113.01"/>
    <n v="2129.58"/>
  </r>
  <r>
    <s v="ORD0117"/>
    <x v="98"/>
    <x v="3"/>
    <x v="3"/>
    <x v="0"/>
    <n v="5"/>
    <n v="4273.47"/>
    <n v="1429.57"/>
  </r>
  <r>
    <s v="ORD0118"/>
    <x v="99"/>
    <x v="1"/>
    <x v="1"/>
    <x v="1"/>
    <n v="10"/>
    <n v="958.4"/>
    <n v="188.47"/>
  </r>
  <r>
    <s v="ORD0119"/>
    <x v="100"/>
    <x v="0"/>
    <x v="0"/>
    <x v="0"/>
    <n v="4"/>
    <n v="4624.79"/>
    <n v="1413.84"/>
  </r>
  <r>
    <s v="ORD0120"/>
    <x v="101"/>
    <x v="3"/>
    <x v="5"/>
    <x v="3"/>
    <n v="1"/>
    <n v="927.58"/>
    <n v="118.08"/>
  </r>
  <r>
    <s v="ORD0121"/>
    <x v="102"/>
    <x v="3"/>
    <x v="7"/>
    <x v="3"/>
    <n v="10"/>
    <n v="5512.68"/>
    <n v="1652.96"/>
  </r>
  <r>
    <s v="ORD0122"/>
    <x v="103"/>
    <x v="1"/>
    <x v="6"/>
    <x v="3"/>
    <n v="6"/>
    <n v="2515.3000000000002"/>
    <n v="272.26"/>
  </r>
  <r>
    <s v="ORD0123"/>
    <x v="104"/>
    <x v="0"/>
    <x v="4"/>
    <x v="1"/>
    <n v="8"/>
    <n v="3051.6"/>
    <n v="1022.9"/>
  </r>
  <r>
    <s v="ORD0124"/>
    <x v="105"/>
    <x v="0"/>
    <x v="1"/>
    <x v="1"/>
    <n v="6"/>
    <n v="2041.55"/>
    <n v="227.22"/>
  </r>
  <r>
    <s v="ORD0125"/>
    <x v="106"/>
    <x v="3"/>
    <x v="11"/>
    <x v="1"/>
    <n v="1"/>
    <n v="265.72000000000003"/>
    <n v="47.21"/>
  </r>
  <r>
    <s v="ORD0126"/>
    <x v="107"/>
    <x v="3"/>
    <x v="0"/>
    <x v="0"/>
    <n v="5"/>
    <n v="3408.01"/>
    <n v="1126.25"/>
  </r>
  <r>
    <s v="ORD0127"/>
    <x v="108"/>
    <x v="0"/>
    <x v="0"/>
    <x v="0"/>
    <n v="10"/>
    <n v="9692.11"/>
    <n v="2632.78"/>
  </r>
  <r>
    <s v="ORD0128"/>
    <x v="109"/>
    <x v="0"/>
    <x v="1"/>
    <x v="1"/>
    <n v="4"/>
    <n v="4764.38"/>
    <n v="1555.53"/>
  </r>
  <r>
    <s v="ORD0129"/>
    <x v="110"/>
    <x v="3"/>
    <x v="10"/>
    <x v="2"/>
    <n v="5"/>
    <n v="3176.01"/>
    <n v="488.55"/>
  </r>
  <r>
    <s v="ORD0130"/>
    <x v="111"/>
    <x v="2"/>
    <x v="10"/>
    <x v="2"/>
    <n v="9"/>
    <n v="1947.04"/>
    <n v="255.97"/>
  </r>
  <r>
    <s v="ORD0131"/>
    <x v="112"/>
    <x v="0"/>
    <x v="3"/>
    <x v="0"/>
    <n v="7"/>
    <n v="3086"/>
    <n v="903.22"/>
  </r>
  <r>
    <s v="ORD0132"/>
    <x v="113"/>
    <x v="3"/>
    <x v="5"/>
    <x v="3"/>
    <n v="5"/>
    <n v="5065.49"/>
    <n v="1198.3900000000001"/>
  </r>
  <r>
    <s v="ORD0133"/>
    <x v="114"/>
    <x v="3"/>
    <x v="10"/>
    <x v="2"/>
    <n v="9"/>
    <n v="5462.93"/>
    <n v="927.38"/>
  </r>
  <r>
    <s v="ORD0134"/>
    <x v="115"/>
    <x v="2"/>
    <x v="11"/>
    <x v="1"/>
    <n v="4"/>
    <n v="4711.5600000000004"/>
    <n v="680.71"/>
  </r>
  <r>
    <s v="ORD0135"/>
    <x v="116"/>
    <x v="3"/>
    <x v="1"/>
    <x v="1"/>
    <n v="6"/>
    <n v="5438.47"/>
    <n v="1470.62"/>
  </r>
  <r>
    <s v="ORD0136"/>
    <x v="117"/>
    <x v="0"/>
    <x v="10"/>
    <x v="2"/>
    <n v="1"/>
    <n v="195.18"/>
    <n v="66.489999999999995"/>
  </r>
  <r>
    <s v="ORD0137"/>
    <x v="118"/>
    <x v="3"/>
    <x v="1"/>
    <x v="1"/>
    <n v="9"/>
    <n v="9873.07"/>
    <n v="830.76"/>
  </r>
  <r>
    <s v="ORD0138"/>
    <x v="53"/>
    <x v="3"/>
    <x v="9"/>
    <x v="2"/>
    <n v="8"/>
    <n v="7590.03"/>
    <n v="1150.32"/>
  </r>
  <r>
    <s v="ORD0139"/>
    <x v="119"/>
    <x v="0"/>
    <x v="3"/>
    <x v="0"/>
    <n v="9"/>
    <n v="4383.1000000000004"/>
    <n v="725.4"/>
  </r>
  <r>
    <s v="ORD0140"/>
    <x v="120"/>
    <x v="0"/>
    <x v="0"/>
    <x v="0"/>
    <n v="5"/>
    <n v="5985.2"/>
    <n v="1685.59"/>
  </r>
  <r>
    <s v="ORD0141"/>
    <x v="121"/>
    <x v="1"/>
    <x v="3"/>
    <x v="0"/>
    <n v="3"/>
    <n v="2544.3000000000002"/>
    <n v="824.16"/>
  </r>
  <r>
    <s v="ORD0142"/>
    <x v="122"/>
    <x v="3"/>
    <x v="3"/>
    <x v="0"/>
    <n v="6"/>
    <n v="2886.4"/>
    <n v="344.36"/>
  </r>
  <r>
    <s v="ORD0143"/>
    <x v="123"/>
    <x v="2"/>
    <x v="9"/>
    <x v="2"/>
    <n v="3"/>
    <n v="422.44"/>
    <n v="133.12"/>
  </r>
  <r>
    <s v="ORD0144"/>
    <x v="124"/>
    <x v="1"/>
    <x v="4"/>
    <x v="1"/>
    <n v="3"/>
    <n v="951.05"/>
    <n v="239.89"/>
  </r>
  <r>
    <s v="ORD0145"/>
    <x v="45"/>
    <x v="1"/>
    <x v="3"/>
    <x v="0"/>
    <n v="5"/>
    <n v="4146.26"/>
    <n v="508.55"/>
  </r>
  <r>
    <s v="ORD0146"/>
    <x v="125"/>
    <x v="2"/>
    <x v="5"/>
    <x v="3"/>
    <n v="7"/>
    <n v="5907.02"/>
    <n v="1201.17"/>
  </r>
  <r>
    <s v="ORD0147"/>
    <x v="100"/>
    <x v="1"/>
    <x v="11"/>
    <x v="1"/>
    <n v="2"/>
    <n v="645.57000000000005"/>
    <n v="151.33000000000001"/>
  </r>
  <r>
    <s v="ORD0148"/>
    <x v="126"/>
    <x v="0"/>
    <x v="7"/>
    <x v="3"/>
    <n v="7"/>
    <n v="2559.5700000000002"/>
    <n v="595.87"/>
  </r>
  <r>
    <s v="ORD0149"/>
    <x v="80"/>
    <x v="2"/>
    <x v="11"/>
    <x v="1"/>
    <n v="4"/>
    <n v="2992.5"/>
    <n v="524.07000000000005"/>
  </r>
  <r>
    <s v="ORD0150"/>
    <x v="127"/>
    <x v="0"/>
    <x v="5"/>
    <x v="3"/>
    <n v="3"/>
    <n v="2317.46"/>
    <n v="750.67"/>
  </r>
  <r>
    <s v="ORD0151"/>
    <x v="102"/>
    <x v="1"/>
    <x v="6"/>
    <x v="3"/>
    <n v="1"/>
    <n v="716.51"/>
    <n v="199"/>
  </r>
  <r>
    <s v="ORD0152"/>
    <x v="128"/>
    <x v="1"/>
    <x v="5"/>
    <x v="3"/>
    <n v="7"/>
    <n v="1763.9"/>
    <n v="204.05"/>
  </r>
  <r>
    <s v="ORD0153"/>
    <x v="129"/>
    <x v="1"/>
    <x v="7"/>
    <x v="3"/>
    <n v="5"/>
    <n v="5505.78"/>
    <n v="1844.05"/>
  </r>
  <r>
    <s v="ORD0154"/>
    <x v="76"/>
    <x v="3"/>
    <x v="3"/>
    <x v="0"/>
    <n v="2"/>
    <n v="423.74"/>
    <n v="144.47999999999999"/>
  </r>
  <r>
    <s v="ORD0155"/>
    <x v="33"/>
    <x v="1"/>
    <x v="7"/>
    <x v="3"/>
    <n v="7"/>
    <n v="462.05"/>
    <n v="103.9"/>
  </r>
  <r>
    <s v="ORD0156"/>
    <x v="130"/>
    <x v="2"/>
    <x v="5"/>
    <x v="3"/>
    <n v="7"/>
    <n v="6970.46"/>
    <n v="2327.29"/>
  </r>
  <r>
    <s v="ORD0157"/>
    <x v="131"/>
    <x v="2"/>
    <x v="1"/>
    <x v="1"/>
    <n v="10"/>
    <n v="10668.7"/>
    <n v="2470.66"/>
  </r>
  <r>
    <s v="ORD0158"/>
    <x v="132"/>
    <x v="0"/>
    <x v="8"/>
    <x v="0"/>
    <n v="8"/>
    <n v="8766.3700000000008"/>
    <n v="1416.57"/>
  </r>
  <r>
    <s v="ORD0159"/>
    <x v="133"/>
    <x v="2"/>
    <x v="9"/>
    <x v="2"/>
    <n v="1"/>
    <n v="400.02"/>
    <n v="85.21"/>
  </r>
  <r>
    <s v="ORD0160"/>
    <x v="134"/>
    <x v="3"/>
    <x v="10"/>
    <x v="2"/>
    <n v="8"/>
    <n v="3813.31"/>
    <n v="1282.54"/>
  </r>
  <r>
    <s v="ORD0161"/>
    <x v="135"/>
    <x v="0"/>
    <x v="10"/>
    <x v="2"/>
    <n v="2"/>
    <n v="2017.49"/>
    <n v="496.76"/>
  </r>
  <r>
    <s v="ORD0162"/>
    <x v="136"/>
    <x v="0"/>
    <x v="7"/>
    <x v="3"/>
    <n v="8"/>
    <n v="4491.2"/>
    <n v="645.61"/>
  </r>
  <r>
    <s v="ORD0163"/>
    <x v="62"/>
    <x v="3"/>
    <x v="5"/>
    <x v="3"/>
    <n v="6"/>
    <n v="717.8"/>
    <n v="110.89"/>
  </r>
  <r>
    <s v="ORD0164"/>
    <x v="137"/>
    <x v="0"/>
    <x v="8"/>
    <x v="0"/>
    <n v="4"/>
    <n v="3151.84"/>
    <n v="760.32"/>
  </r>
  <r>
    <s v="ORD0165"/>
    <x v="138"/>
    <x v="2"/>
    <x v="7"/>
    <x v="3"/>
    <n v="3"/>
    <n v="2865.07"/>
    <n v="387.95"/>
  </r>
  <r>
    <s v="ORD0166"/>
    <x v="139"/>
    <x v="0"/>
    <x v="9"/>
    <x v="2"/>
    <n v="6"/>
    <n v="5643.14"/>
    <n v="1653.07"/>
  </r>
  <r>
    <s v="ORD0167"/>
    <x v="140"/>
    <x v="0"/>
    <x v="7"/>
    <x v="3"/>
    <n v="3"/>
    <n v="2013.74"/>
    <n v="595.26"/>
  </r>
  <r>
    <s v="ORD0168"/>
    <x v="99"/>
    <x v="0"/>
    <x v="9"/>
    <x v="2"/>
    <n v="6"/>
    <n v="5750.89"/>
    <n v="829.52"/>
  </r>
  <r>
    <s v="ORD0169"/>
    <x v="75"/>
    <x v="0"/>
    <x v="10"/>
    <x v="2"/>
    <n v="1"/>
    <n v="195.77"/>
    <n v="37.909999999999997"/>
  </r>
  <r>
    <s v="ORD0170"/>
    <x v="141"/>
    <x v="2"/>
    <x v="11"/>
    <x v="1"/>
    <n v="6"/>
    <n v="3841.34"/>
    <n v="420.41"/>
  </r>
  <r>
    <s v="ORD0171"/>
    <x v="142"/>
    <x v="0"/>
    <x v="8"/>
    <x v="0"/>
    <n v="9"/>
    <n v="3571.87"/>
    <n v="906.19"/>
  </r>
  <r>
    <s v="ORD0172"/>
    <x v="143"/>
    <x v="0"/>
    <x v="11"/>
    <x v="1"/>
    <n v="7"/>
    <n v="5873.08"/>
    <n v="1247.28"/>
  </r>
  <r>
    <s v="ORD0173"/>
    <x v="53"/>
    <x v="1"/>
    <x v="3"/>
    <x v="0"/>
    <n v="10"/>
    <n v="2205.84"/>
    <n v="251.62"/>
  </r>
  <r>
    <s v="ORD0174"/>
    <x v="28"/>
    <x v="0"/>
    <x v="4"/>
    <x v="1"/>
    <n v="9"/>
    <n v="3502.19"/>
    <n v="758.22"/>
  </r>
  <r>
    <s v="ORD0175"/>
    <x v="144"/>
    <x v="2"/>
    <x v="8"/>
    <x v="0"/>
    <n v="9"/>
    <n v="7910.69"/>
    <n v="1092.1199999999999"/>
  </r>
  <r>
    <s v="ORD0176"/>
    <x v="35"/>
    <x v="3"/>
    <x v="11"/>
    <x v="1"/>
    <n v="8"/>
    <n v="4068.32"/>
    <n v="1126.9100000000001"/>
  </r>
  <r>
    <s v="ORD0177"/>
    <x v="57"/>
    <x v="0"/>
    <x v="5"/>
    <x v="3"/>
    <n v="5"/>
    <n v="2402.23"/>
    <n v="291.18"/>
  </r>
  <r>
    <s v="ORD0178"/>
    <x v="145"/>
    <x v="2"/>
    <x v="0"/>
    <x v="0"/>
    <n v="2"/>
    <n v="1093.32"/>
    <n v="307.27"/>
  </r>
  <r>
    <s v="ORD0179"/>
    <x v="146"/>
    <x v="1"/>
    <x v="8"/>
    <x v="0"/>
    <n v="9"/>
    <n v="6263.42"/>
    <n v="1634.15"/>
  </r>
  <r>
    <s v="ORD0180"/>
    <x v="147"/>
    <x v="0"/>
    <x v="4"/>
    <x v="1"/>
    <n v="1"/>
    <n v="1163.6600000000001"/>
    <n v="281.73"/>
  </r>
  <r>
    <s v="ORD0181"/>
    <x v="148"/>
    <x v="1"/>
    <x v="9"/>
    <x v="2"/>
    <n v="8"/>
    <n v="2463.0500000000002"/>
    <n v="269.01"/>
  </r>
  <r>
    <s v="ORD0182"/>
    <x v="12"/>
    <x v="0"/>
    <x v="3"/>
    <x v="0"/>
    <n v="10"/>
    <n v="3100.83"/>
    <n v="607.33000000000004"/>
  </r>
  <r>
    <s v="ORD0183"/>
    <x v="24"/>
    <x v="1"/>
    <x v="7"/>
    <x v="3"/>
    <n v="3"/>
    <n v="1092.78"/>
    <n v="312.37"/>
  </r>
  <r>
    <s v="ORD0184"/>
    <x v="149"/>
    <x v="0"/>
    <x v="0"/>
    <x v="0"/>
    <n v="3"/>
    <n v="2103.81"/>
    <n v="395.96"/>
  </r>
  <r>
    <s v="ORD0185"/>
    <x v="16"/>
    <x v="2"/>
    <x v="8"/>
    <x v="0"/>
    <n v="9"/>
    <n v="2676.63"/>
    <n v="517.54"/>
  </r>
  <r>
    <s v="ORD0186"/>
    <x v="91"/>
    <x v="0"/>
    <x v="6"/>
    <x v="3"/>
    <n v="6"/>
    <n v="5660.17"/>
    <n v="1320.24"/>
  </r>
  <r>
    <s v="ORD0187"/>
    <x v="45"/>
    <x v="3"/>
    <x v="9"/>
    <x v="2"/>
    <n v="10"/>
    <n v="1072.27"/>
    <n v="109.4"/>
  </r>
  <r>
    <s v="ORD0188"/>
    <x v="150"/>
    <x v="0"/>
    <x v="4"/>
    <x v="1"/>
    <n v="8"/>
    <n v="4210.49"/>
    <n v="581.9"/>
  </r>
  <r>
    <s v="ORD0189"/>
    <x v="119"/>
    <x v="1"/>
    <x v="6"/>
    <x v="3"/>
    <n v="2"/>
    <n v="751.47"/>
    <n v="197.78"/>
  </r>
  <r>
    <s v="ORD0190"/>
    <x v="151"/>
    <x v="1"/>
    <x v="0"/>
    <x v="0"/>
    <n v="7"/>
    <n v="8274.7900000000009"/>
    <n v="784.38"/>
  </r>
  <r>
    <s v="ORD0191"/>
    <x v="152"/>
    <x v="3"/>
    <x v="9"/>
    <x v="2"/>
    <n v="5"/>
    <n v="1914.32"/>
    <n v="215.16"/>
  </r>
  <r>
    <s v="ORD0192"/>
    <x v="153"/>
    <x v="1"/>
    <x v="9"/>
    <x v="2"/>
    <n v="7"/>
    <n v="4637.29"/>
    <n v="659.1"/>
  </r>
  <r>
    <s v="ORD0193"/>
    <x v="154"/>
    <x v="1"/>
    <x v="3"/>
    <x v="0"/>
    <n v="1"/>
    <n v="551.65"/>
    <n v="112.61"/>
  </r>
  <r>
    <s v="ORD0194"/>
    <x v="75"/>
    <x v="3"/>
    <x v="4"/>
    <x v="1"/>
    <n v="7"/>
    <n v="6061.47"/>
    <n v="1168.51"/>
  </r>
  <r>
    <s v="ORD0195"/>
    <x v="84"/>
    <x v="1"/>
    <x v="3"/>
    <x v="0"/>
    <n v="3"/>
    <n v="2914.56"/>
    <n v="719.59"/>
  </r>
  <r>
    <s v="ORD0196"/>
    <x v="155"/>
    <x v="0"/>
    <x v="3"/>
    <x v="0"/>
    <n v="2"/>
    <n v="659.63"/>
    <n v="157.65"/>
  </r>
  <r>
    <s v="ORD0197"/>
    <x v="154"/>
    <x v="0"/>
    <x v="11"/>
    <x v="1"/>
    <n v="6"/>
    <n v="1828.85"/>
    <n v="531.03"/>
  </r>
  <r>
    <s v="ORD0198"/>
    <x v="156"/>
    <x v="2"/>
    <x v="10"/>
    <x v="2"/>
    <n v="6"/>
    <n v="5318.92"/>
    <n v="1601.61"/>
  </r>
  <r>
    <s v="ORD0199"/>
    <x v="11"/>
    <x v="0"/>
    <x v="0"/>
    <x v="0"/>
    <n v="5"/>
    <n v="1384.31"/>
    <n v="335.9"/>
  </r>
  <r>
    <s v="ORD0200"/>
    <x v="157"/>
    <x v="3"/>
    <x v="2"/>
    <x v="2"/>
    <n v="8"/>
    <n v="4668.37"/>
    <n v="1084.04"/>
  </r>
  <r>
    <s v="ORD0201"/>
    <x v="45"/>
    <x v="1"/>
    <x v="5"/>
    <x v="3"/>
    <n v="6"/>
    <n v="1341.61"/>
    <n v="132.06"/>
  </r>
  <r>
    <s v="ORD0202"/>
    <x v="109"/>
    <x v="3"/>
    <x v="5"/>
    <x v="3"/>
    <n v="1"/>
    <n v="454.73"/>
    <n v="45.49"/>
  </r>
  <r>
    <s v="ORD0203"/>
    <x v="102"/>
    <x v="3"/>
    <x v="0"/>
    <x v="0"/>
    <n v="6"/>
    <n v="6038.71"/>
    <n v="608.20000000000005"/>
  </r>
  <r>
    <s v="ORD0204"/>
    <x v="158"/>
    <x v="3"/>
    <x v="4"/>
    <x v="1"/>
    <n v="9"/>
    <n v="10326.299999999999"/>
    <n v="2886.29"/>
  </r>
  <r>
    <s v="ORD0205"/>
    <x v="159"/>
    <x v="3"/>
    <x v="10"/>
    <x v="2"/>
    <n v="10"/>
    <n v="5969.73"/>
    <n v="720.74"/>
  </r>
  <r>
    <s v="ORD0206"/>
    <x v="160"/>
    <x v="3"/>
    <x v="3"/>
    <x v="0"/>
    <n v="2"/>
    <n v="1260.46"/>
    <n v="159.56"/>
  </r>
  <r>
    <s v="ORD0207"/>
    <x v="87"/>
    <x v="3"/>
    <x v="4"/>
    <x v="1"/>
    <n v="9"/>
    <n v="6761.49"/>
    <n v="1205.25"/>
  </r>
  <r>
    <s v="ORD0208"/>
    <x v="161"/>
    <x v="0"/>
    <x v="11"/>
    <x v="1"/>
    <n v="10"/>
    <n v="1102.2"/>
    <n v="275.92"/>
  </r>
  <r>
    <s v="ORD0209"/>
    <x v="162"/>
    <x v="2"/>
    <x v="7"/>
    <x v="3"/>
    <n v="9"/>
    <n v="7471.23"/>
    <n v="1170.8900000000001"/>
  </r>
  <r>
    <s v="ORD0210"/>
    <x v="163"/>
    <x v="3"/>
    <x v="7"/>
    <x v="3"/>
    <n v="10"/>
    <n v="8131.54"/>
    <n v="2663.25"/>
  </r>
  <r>
    <s v="ORD0211"/>
    <x v="164"/>
    <x v="2"/>
    <x v="2"/>
    <x v="2"/>
    <n v="2"/>
    <n v="812.04"/>
    <n v="147.55000000000001"/>
  </r>
  <r>
    <s v="ORD0212"/>
    <x v="163"/>
    <x v="2"/>
    <x v="8"/>
    <x v="0"/>
    <n v="7"/>
    <n v="4443.33"/>
    <n v="377.34"/>
  </r>
  <r>
    <s v="ORD0213"/>
    <x v="42"/>
    <x v="0"/>
    <x v="10"/>
    <x v="2"/>
    <n v="8"/>
    <n v="2166.4499999999998"/>
    <n v="758.24"/>
  </r>
  <r>
    <s v="ORD0214"/>
    <x v="165"/>
    <x v="0"/>
    <x v="7"/>
    <x v="3"/>
    <n v="9"/>
    <n v="8428.5499999999993"/>
    <n v="2574.77"/>
  </r>
  <r>
    <s v="ORD0215"/>
    <x v="166"/>
    <x v="2"/>
    <x v="5"/>
    <x v="3"/>
    <n v="3"/>
    <n v="2210.5"/>
    <n v="268.89999999999998"/>
  </r>
  <r>
    <s v="ORD0216"/>
    <x v="143"/>
    <x v="1"/>
    <x v="1"/>
    <x v="1"/>
    <n v="7"/>
    <n v="3282.61"/>
    <n v="900.38"/>
  </r>
  <r>
    <s v="ORD0217"/>
    <x v="49"/>
    <x v="2"/>
    <x v="1"/>
    <x v="1"/>
    <n v="9"/>
    <n v="2925.39"/>
    <n v="996.71"/>
  </r>
  <r>
    <s v="ORD0218"/>
    <x v="87"/>
    <x v="3"/>
    <x v="5"/>
    <x v="3"/>
    <n v="10"/>
    <n v="11821.06"/>
    <n v="2419.2199999999998"/>
  </r>
  <r>
    <s v="ORD0219"/>
    <x v="15"/>
    <x v="0"/>
    <x v="1"/>
    <x v="1"/>
    <n v="4"/>
    <n v="3885.79"/>
    <n v="456.07"/>
  </r>
  <r>
    <s v="ORD0220"/>
    <x v="167"/>
    <x v="0"/>
    <x v="11"/>
    <x v="1"/>
    <n v="9"/>
    <n v="10119.94"/>
    <n v="2753.42"/>
  </r>
  <r>
    <s v="ORD0221"/>
    <x v="156"/>
    <x v="3"/>
    <x v="7"/>
    <x v="3"/>
    <n v="3"/>
    <n v="1091.1300000000001"/>
    <n v="354"/>
  </r>
  <r>
    <s v="ORD0222"/>
    <x v="168"/>
    <x v="0"/>
    <x v="0"/>
    <x v="0"/>
    <n v="8"/>
    <n v="8538.59"/>
    <n v="2828.22"/>
  </r>
  <r>
    <s v="ORD0223"/>
    <x v="169"/>
    <x v="2"/>
    <x v="4"/>
    <x v="1"/>
    <n v="6"/>
    <n v="1926.87"/>
    <n v="671.56"/>
  </r>
  <r>
    <s v="ORD0224"/>
    <x v="170"/>
    <x v="2"/>
    <x v="3"/>
    <x v="0"/>
    <n v="2"/>
    <n v="2030.11"/>
    <n v="518.66999999999996"/>
  </r>
  <r>
    <s v="ORD0225"/>
    <x v="171"/>
    <x v="3"/>
    <x v="3"/>
    <x v="0"/>
    <n v="8"/>
    <n v="6803.86"/>
    <n v="799.28"/>
  </r>
  <r>
    <s v="ORD0226"/>
    <x v="172"/>
    <x v="2"/>
    <x v="4"/>
    <x v="1"/>
    <n v="1"/>
    <n v="1091.74"/>
    <n v="92.94"/>
  </r>
  <r>
    <s v="ORD0227"/>
    <x v="94"/>
    <x v="3"/>
    <x v="1"/>
    <x v="1"/>
    <n v="5"/>
    <n v="1616.43"/>
    <n v="182.49"/>
  </r>
  <r>
    <s v="ORD0228"/>
    <x v="51"/>
    <x v="0"/>
    <x v="1"/>
    <x v="1"/>
    <n v="2"/>
    <n v="2024.38"/>
    <n v="435.15"/>
  </r>
  <r>
    <s v="ORD0229"/>
    <x v="147"/>
    <x v="2"/>
    <x v="2"/>
    <x v="2"/>
    <n v="3"/>
    <n v="1154.8900000000001"/>
    <n v="92.88"/>
  </r>
  <r>
    <s v="ORD0230"/>
    <x v="165"/>
    <x v="0"/>
    <x v="1"/>
    <x v="1"/>
    <n v="2"/>
    <n v="1304.01"/>
    <n v="231.28"/>
  </r>
  <r>
    <s v="ORD0231"/>
    <x v="71"/>
    <x v="0"/>
    <x v="11"/>
    <x v="1"/>
    <n v="1"/>
    <n v="781.02"/>
    <n v="269.36"/>
  </r>
  <r>
    <s v="ORD0232"/>
    <x v="173"/>
    <x v="1"/>
    <x v="7"/>
    <x v="3"/>
    <n v="6"/>
    <n v="1963.77"/>
    <n v="505.51"/>
  </r>
  <r>
    <s v="ORD0233"/>
    <x v="174"/>
    <x v="3"/>
    <x v="9"/>
    <x v="2"/>
    <n v="6"/>
    <n v="4067.49"/>
    <n v="1218.81"/>
  </r>
  <r>
    <s v="ORD0234"/>
    <x v="175"/>
    <x v="0"/>
    <x v="4"/>
    <x v="1"/>
    <n v="3"/>
    <n v="2949.67"/>
    <n v="286.23"/>
  </r>
  <r>
    <s v="ORD0235"/>
    <x v="176"/>
    <x v="1"/>
    <x v="7"/>
    <x v="3"/>
    <n v="1"/>
    <n v="959.78"/>
    <n v="306.33"/>
  </r>
  <r>
    <s v="ORD0236"/>
    <x v="34"/>
    <x v="1"/>
    <x v="4"/>
    <x v="1"/>
    <n v="8"/>
    <n v="2730.49"/>
    <n v="773.79"/>
  </r>
  <r>
    <s v="ORD0237"/>
    <x v="52"/>
    <x v="3"/>
    <x v="7"/>
    <x v="3"/>
    <n v="6"/>
    <n v="2185.19"/>
    <n v="646.42999999999995"/>
  </r>
  <r>
    <s v="ORD0238"/>
    <x v="152"/>
    <x v="1"/>
    <x v="11"/>
    <x v="1"/>
    <n v="6"/>
    <n v="7018.69"/>
    <n v="1501.82"/>
  </r>
  <r>
    <s v="ORD0239"/>
    <x v="166"/>
    <x v="1"/>
    <x v="7"/>
    <x v="3"/>
    <n v="7"/>
    <n v="985.36"/>
    <n v="239.11"/>
  </r>
  <r>
    <s v="ORD0240"/>
    <x v="177"/>
    <x v="3"/>
    <x v="7"/>
    <x v="3"/>
    <n v="2"/>
    <n v="854.22"/>
    <n v="136.52000000000001"/>
  </r>
  <r>
    <s v="ORD0241"/>
    <x v="147"/>
    <x v="3"/>
    <x v="2"/>
    <x v="2"/>
    <n v="8"/>
    <n v="3634.23"/>
    <n v="332.3"/>
  </r>
  <r>
    <s v="ORD0242"/>
    <x v="7"/>
    <x v="2"/>
    <x v="5"/>
    <x v="3"/>
    <n v="1"/>
    <n v="136.30000000000001"/>
    <n v="34.369999999999997"/>
  </r>
  <r>
    <s v="ORD0243"/>
    <x v="89"/>
    <x v="0"/>
    <x v="0"/>
    <x v="0"/>
    <n v="10"/>
    <n v="8298.02"/>
    <n v="1645.55"/>
  </r>
  <r>
    <s v="ORD0244"/>
    <x v="178"/>
    <x v="2"/>
    <x v="2"/>
    <x v="2"/>
    <n v="6"/>
    <n v="2798.84"/>
    <n v="941.41"/>
  </r>
  <r>
    <s v="ORD0245"/>
    <x v="13"/>
    <x v="1"/>
    <x v="11"/>
    <x v="1"/>
    <n v="6"/>
    <n v="3363.18"/>
    <n v="338.87"/>
  </r>
  <r>
    <s v="ORD0246"/>
    <x v="179"/>
    <x v="3"/>
    <x v="11"/>
    <x v="1"/>
    <n v="5"/>
    <n v="1685.27"/>
    <n v="186.44"/>
  </r>
  <r>
    <s v="ORD0247"/>
    <x v="177"/>
    <x v="2"/>
    <x v="4"/>
    <x v="1"/>
    <n v="2"/>
    <n v="702.09"/>
    <n v="105.51"/>
  </r>
  <r>
    <s v="ORD0248"/>
    <x v="39"/>
    <x v="3"/>
    <x v="5"/>
    <x v="3"/>
    <n v="8"/>
    <n v="2241.64"/>
    <n v="261.48"/>
  </r>
  <r>
    <s v="ORD0249"/>
    <x v="180"/>
    <x v="1"/>
    <x v="2"/>
    <x v="2"/>
    <n v="8"/>
    <n v="9574.81"/>
    <n v="2861.32"/>
  </r>
  <r>
    <s v="ORD0250"/>
    <x v="36"/>
    <x v="2"/>
    <x v="8"/>
    <x v="0"/>
    <n v="9"/>
    <n v="3455.25"/>
    <n v="556.25"/>
  </r>
  <r>
    <s v="ORD0251"/>
    <x v="181"/>
    <x v="2"/>
    <x v="5"/>
    <x v="3"/>
    <n v="4"/>
    <n v="758.27"/>
    <n v="101.81"/>
  </r>
  <r>
    <s v="ORD0252"/>
    <x v="5"/>
    <x v="2"/>
    <x v="1"/>
    <x v="1"/>
    <n v="6"/>
    <n v="4122.75"/>
    <n v="740.47"/>
  </r>
  <r>
    <s v="ORD0253"/>
    <x v="182"/>
    <x v="3"/>
    <x v="0"/>
    <x v="0"/>
    <n v="5"/>
    <n v="2539.42"/>
    <n v="694.71"/>
  </r>
  <r>
    <s v="ORD0254"/>
    <x v="39"/>
    <x v="3"/>
    <x v="4"/>
    <x v="1"/>
    <n v="2"/>
    <n v="388.25"/>
    <n v="64.290000000000006"/>
  </r>
  <r>
    <s v="ORD0255"/>
    <x v="5"/>
    <x v="2"/>
    <x v="4"/>
    <x v="1"/>
    <n v="9"/>
    <n v="4015.73"/>
    <n v="1273.18"/>
  </r>
  <r>
    <s v="ORD0256"/>
    <x v="183"/>
    <x v="2"/>
    <x v="10"/>
    <x v="2"/>
    <n v="9"/>
    <n v="9875.8700000000008"/>
    <n v="937.83"/>
  </r>
  <r>
    <s v="ORD0257"/>
    <x v="184"/>
    <x v="1"/>
    <x v="7"/>
    <x v="3"/>
    <n v="3"/>
    <n v="1263.18"/>
    <n v="342.98"/>
  </r>
  <r>
    <s v="ORD0258"/>
    <x v="89"/>
    <x v="1"/>
    <x v="3"/>
    <x v="0"/>
    <n v="4"/>
    <n v="3121.26"/>
    <n v="713.92"/>
  </r>
  <r>
    <s v="ORD0259"/>
    <x v="185"/>
    <x v="1"/>
    <x v="8"/>
    <x v="0"/>
    <n v="3"/>
    <n v="2191.7399999999998"/>
    <n v="518.95000000000005"/>
  </r>
  <r>
    <s v="ORD0260"/>
    <x v="27"/>
    <x v="1"/>
    <x v="0"/>
    <x v="0"/>
    <n v="2"/>
    <n v="204.56"/>
    <n v="51.79"/>
  </r>
  <r>
    <s v="ORD0261"/>
    <x v="77"/>
    <x v="1"/>
    <x v="2"/>
    <x v="2"/>
    <n v="7"/>
    <n v="5325.77"/>
    <n v="469.61"/>
  </r>
  <r>
    <s v="ORD0262"/>
    <x v="186"/>
    <x v="3"/>
    <x v="6"/>
    <x v="3"/>
    <n v="4"/>
    <n v="3901.57"/>
    <n v="1033.71"/>
  </r>
  <r>
    <s v="ORD0263"/>
    <x v="187"/>
    <x v="2"/>
    <x v="8"/>
    <x v="0"/>
    <n v="1"/>
    <n v="231.79"/>
    <n v="44.55"/>
  </r>
  <r>
    <s v="ORD0264"/>
    <x v="86"/>
    <x v="3"/>
    <x v="5"/>
    <x v="3"/>
    <n v="3"/>
    <n v="1228.4100000000001"/>
    <n v="336.53"/>
  </r>
  <r>
    <s v="ORD0265"/>
    <x v="188"/>
    <x v="0"/>
    <x v="10"/>
    <x v="2"/>
    <n v="9"/>
    <n v="6263.09"/>
    <n v="1040.68"/>
  </r>
  <r>
    <s v="ORD0266"/>
    <x v="115"/>
    <x v="3"/>
    <x v="6"/>
    <x v="3"/>
    <n v="4"/>
    <n v="848.04"/>
    <n v="79.430000000000007"/>
  </r>
  <r>
    <s v="ORD0267"/>
    <x v="34"/>
    <x v="2"/>
    <x v="9"/>
    <x v="2"/>
    <n v="6"/>
    <n v="6742.89"/>
    <n v="1852.3"/>
  </r>
  <r>
    <s v="ORD0268"/>
    <x v="189"/>
    <x v="0"/>
    <x v="4"/>
    <x v="1"/>
    <n v="8"/>
    <n v="4988.59"/>
    <n v="814.67"/>
  </r>
  <r>
    <s v="ORD0269"/>
    <x v="147"/>
    <x v="0"/>
    <x v="4"/>
    <x v="1"/>
    <n v="8"/>
    <n v="9293.52"/>
    <n v="1283.33"/>
  </r>
  <r>
    <s v="ORD0270"/>
    <x v="190"/>
    <x v="3"/>
    <x v="3"/>
    <x v="0"/>
    <n v="8"/>
    <n v="5897.17"/>
    <n v="1813.79"/>
  </r>
  <r>
    <s v="ORD0271"/>
    <x v="4"/>
    <x v="1"/>
    <x v="5"/>
    <x v="3"/>
    <n v="1"/>
    <n v="1024.25"/>
    <n v="201.11"/>
  </r>
  <r>
    <s v="ORD0272"/>
    <x v="191"/>
    <x v="1"/>
    <x v="11"/>
    <x v="1"/>
    <n v="1"/>
    <n v="510.67"/>
    <n v="119.48"/>
  </r>
  <r>
    <s v="ORD0273"/>
    <x v="135"/>
    <x v="0"/>
    <x v="7"/>
    <x v="3"/>
    <n v="7"/>
    <n v="4409.26"/>
    <n v="1262.76"/>
  </r>
  <r>
    <s v="ORD0274"/>
    <x v="192"/>
    <x v="1"/>
    <x v="9"/>
    <x v="2"/>
    <n v="7"/>
    <n v="3354.25"/>
    <n v="1162.02"/>
  </r>
  <r>
    <s v="ORD0275"/>
    <x v="121"/>
    <x v="0"/>
    <x v="9"/>
    <x v="2"/>
    <n v="10"/>
    <n v="6354.91"/>
    <n v="1366.44"/>
  </r>
  <r>
    <s v="ORD0276"/>
    <x v="46"/>
    <x v="2"/>
    <x v="2"/>
    <x v="2"/>
    <n v="6"/>
    <n v="5847.36"/>
    <n v="1287.7"/>
  </r>
  <r>
    <s v="ORD0277"/>
    <x v="41"/>
    <x v="1"/>
    <x v="5"/>
    <x v="3"/>
    <n v="6"/>
    <n v="1421.26"/>
    <n v="493.84"/>
  </r>
  <r>
    <s v="ORD0278"/>
    <x v="193"/>
    <x v="1"/>
    <x v="4"/>
    <x v="1"/>
    <n v="10"/>
    <n v="3947.59"/>
    <n v="1185.27"/>
  </r>
  <r>
    <s v="ORD0279"/>
    <x v="194"/>
    <x v="0"/>
    <x v="3"/>
    <x v="0"/>
    <n v="10"/>
    <n v="4038.3"/>
    <n v="1303.03"/>
  </r>
  <r>
    <s v="ORD0280"/>
    <x v="195"/>
    <x v="3"/>
    <x v="11"/>
    <x v="1"/>
    <n v="10"/>
    <n v="7142.8"/>
    <n v="1962.68"/>
  </r>
  <r>
    <s v="ORD0281"/>
    <x v="14"/>
    <x v="2"/>
    <x v="2"/>
    <x v="2"/>
    <n v="10"/>
    <n v="9407.9699999999993"/>
    <n v="1718.38"/>
  </r>
  <r>
    <s v="ORD0282"/>
    <x v="196"/>
    <x v="2"/>
    <x v="8"/>
    <x v="0"/>
    <n v="2"/>
    <n v="538.79999999999995"/>
    <n v="107.26"/>
  </r>
  <r>
    <s v="ORD0283"/>
    <x v="197"/>
    <x v="0"/>
    <x v="4"/>
    <x v="1"/>
    <n v="4"/>
    <n v="2087.7399999999998"/>
    <n v="603.86"/>
  </r>
  <r>
    <s v="ORD0284"/>
    <x v="198"/>
    <x v="3"/>
    <x v="2"/>
    <x v="2"/>
    <n v="4"/>
    <n v="2780.08"/>
    <n v="971.62"/>
  </r>
  <r>
    <s v="ORD0285"/>
    <x v="47"/>
    <x v="1"/>
    <x v="7"/>
    <x v="3"/>
    <n v="8"/>
    <n v="8791.5400000000009"/>
    <n v="1515.91"/>
  </r>
  <r>
    <s v="ORD0286"/>
    <x v="186"/>
    <x v="1"/>
    <x v="1"/>
    <x v="1"/>
    <n v="4"/>
    <n v="1483.43"/>
    <n v="238.23"/>
  </r>
  <r>
    <s v="ORD0287"/>
    <x v="199"/>
    <x v="1"/>
    <x v="2"/>
    <x v="2"/>
    <n v="8"/>
    <n v="3316.77"/>
    <n v="577.70000000000005"/>
  </r>
  <r>
    <s v="ORD0288"/>
    <x v="86"/>
    <x v="2"/>
    <x v="8"/>
    <x v="0"/>
    <n v="9"/>
    <n v="4379.83"/>
    <n v="1509.48"/>
  </r>
  <r>
    <s v="ORD0289"/>
    <x v="45"/>
    <x v="1"/>
    <x v="7"/>
    <x v="3"/>
    <n v="5"/>
    <n v="5743.05"/>
    <n v="581.99"/>
  </r>
  <r>
    <s v="ORD0290"/>
    <x v="12"/>
    <x v="1"/>
    <x v="1"/>
    <x v="1"/>
    <n v="4"/>
    <n v="4008.58"/>
    <n v="614.14"/>
  </r>
  <r>
    <s v="ORD0291"/>
    <x v="200"/>
    <x v="2"/>
    <x v="9"/>
    <x v="2"/>
    <n v="10"/>
    <n v="9020.25"/>
    <n v="1304.3800000000001"/>
  </r>
  <r>
    <s v="ORD0292"/>
    <x v="201"/>
    <x v="2"/>
    <x v="9"/>
    <x v="2"/>
    <n v="2"/>
    <n v="1050.5899999999999"/>
    <n v="287.52999999999997"/>
  </r>
  <r>
    <s v="ORD0293"/>
    <x v="59"/>
    <x v="3"/>
    <x v="8"/>
    <x v="0"/>
    <n v="3"/>
    <n v="1553.83"/>
    <n v="516.58000000000004"/>
  </r>
  <r>
    <s v="ORD0294"/>
    <x v="202"/>
    <x v="2"/>
    <x v="10"/>
    <x v="2"/>
    <n v="6"/>
    <n v="2269.37"/>
    <n v="217.8"/>
  </r>
  <r>
    <s v="ORD0295"/>
    <x v="203"/>
    <x v="3"/>
    <x v="0"/>
    <x v="0"/>
    <n v="7"/>
    <n v="7452.07"/>
    <n v="949.86"/>
  </r>
  <r>
    <s v="ORD0296"/>
    <x v="204"/>
    <x v="0"/>
    <x v="1"/>
    <x v="1"/>
    <n v="5"/>
    <n v="5291.27"/>
    <n v="436.54"/>
  </r>
  <r>
    <s v="ORD0297"/>
    <x v="205"/>
    <x v="2"/>
    <x v="6"/>
    <x v="3"/>
    <n v="8"/>
    <n v="9499.7199999999993"/>
    <n v="2153.5"/>
  </r>
  <r>
    <s v="ORD0298"/>
    <x v="175"/>
    <x v="1"/>
    <x v="11"/>
    <x v="1"/>
    <n v="4"/>
    <n v="3920.54"/>
    <n v="663.69"/>
  </r>
  <r>
    <s v="ORD0299"/>
    <x v="30"/>
    <x v="2"/>
    <x v="9"/>
    <x v="2"/>
    <n v="6"/>
    <n v="5756.3"/>
    <n v="1342.95"/>
  </r>
  <r>
    <s v="ORD0300"/>
    <x v="206"/>
    <x v="2"/>
    <x v="11"/>
    <x v="1"/>
    <n v="9"/>
    <n v="3844.04"/>
    <n v="723.54"/>
  </r>
  <r>
    <s v="ORD0301"/>
    <x v="115"/>
    <x v="2"/>
    <x v="10"/>
    <x v="2"/>
    <n v="6"/>
    <n v="6757.2"/>
    <n v="553.04"/>
  </r>
  <r>
    <s v="ORD0302"/>
    <x v="207"/>
    <x v="1"/>
    <x v="11"/>
    <x v="1"/>
    <n v="6"/>
    <n v="2383.4299999999998"/>
    <n v="655.87"/>
  </r>
  <r>
    <s v="ORD0303"/>
    <x v="20"/>
    <x v="2"/>
    <x v="5"/>
    <x v="3"/>
    <n v="4"/>
    <n v="485.77"/>
    <n v="54.37"/>
  </r>
  <r>
    <s v="ORD0304"/>
    <x v="108"/>
    <x v="0"/>
    <x v="4"/>
    <x v="1"/>
    <n v="9"/>
    <n v="10004.15"/>
    <n v="3198.39"/>
  </r>
  <r>
    <s v="ORD0305"/>
    <x v="198"/>
    <x v="2"/>
    <x v="6"/>
    <x v="3"/>
    <n v="10"/>
    <n v="3039.77"/>
    <n v="1028.92"/>
  </r>
  <r>
    <s v="ORD0306"/>
    <x v="197"/>
    <x v="2"/>
    <x v="4"/>
    <x v="1"/>
    <n v="10"/>
    <n v="4796.6899999999996"/>
    <n v="1292.82"/>
  </r>
  <r>
    <s v="ORD0307"/>
    <x v="177"/>
    <x v="1"/>
    <x v="2"/>
    <x v="2"/>
    <n v="10"/>
    <n v="10541.05"/>
    <n v="1076.29"/>
  </r>
  <r>
    <s v="ORD0308"/>
    <x v="208"/>
    <x v="2"/>
    <x v="8"/>
    <x v="0"/>
    <n v="2"/>
    <n v="242.04"/>
    <n v="55.15"/>
  </r>
  <r>
    <s v="ORD0309"/>
    <x v="14"/>
    <x v="2"/>
    <x v="9"/>
    <x v="2"/>
    <n v="6"/>
    <n v="6195.95"/>
    <n v="1234.83"/>
  </r>
  <r>
    <s v="ORD0310"/>
    <x v="209"/>
    <x v="3"/>
    <x v="1"/>
    <x v="1"/>
    <n v="9"/>
    <n v="5060.75"/>
    <n v="480.88"/>
  </r>
  <r>
    <s v="ORD0311"/>
    <x v="20"/>
    <x v="0"/>
    <x v="4"/>
    <x v="1"/>
    <n v="1"/>
    <n v="692.62"/>
    <n v="181.22"/>
  </r>
  <r>
    <s v="ORD0312"/>
    <x v="121"/>
    <x v="3"/>
    <x v="11"/>
    <x v="1"/>
    <n v="1"/>
    <n v="907.68"/>
    <n v="214.34"/>
  </r>
  <r>
    <s v="ORD0313"/>
    <x v="50"/>
    <x v="3"/>
    <x v="5"/>
    <x v="3"/>
    <n v="2"/>
    <n v="1344.68"/>
    <n v="129.44999999999999"/>
  </r>
  <r>
    <s v="ORD0314"/>
    <x v="210"/>
    <x v="3"/>
    <x v="3"/>
    <x v="0"/>
    <n v="7"/>
    <n v="1798.85"/>
    <n v="209.68"/>
  </r>
  <r>
    <s v="ORD0315"/>
    <x v="211"/>
    <x v="0"/>
    <x v="6"/>
    <x v="3"/>
    <n v="8"/>
    <n v="8400.51"/>
    <n v="2728.71"/>
  </r>
  <r>
    <s v="ORD0316"/>
    <x v="212"/>
    <x v="2"/>
    <x v="2"/>
    <x v="2"/>
    <n v="6"/>
    <n v="1118.57"/>
    <n v="389.34"/>
  </r>
  <r>
    <s v="ORD0317"/>
    <x v="114"/>
    <x v="3"/>
    <x v="9"/>
    <x v="2"/>
    <n v="1"/>
    <n v="1175.26"/>
    <n v="240.94"/>
  </r>
  <r>
    <s v="ORD0318"/>
    <x v="213"/>
    <x v="0"/>
    <x v="1"/>
    <x v="1"/>
    <n v="4"/>
    <n v="2318.88"/>
    <n v="282.63"/>
  </r>
  <r>
    <s v="ORD0319"/>
    <x v="214"/>
    <x v="2"/>
    <x v="8"/>
    <x v="0"/>
    <n v="7"/>
    <n v="5300.13"/>
    <n v="1763.8"/>
  </r>
  <r>
    <s v="ORD0320"/>
    <x v="190"/>
    <x v="0"/>
    <x v="9"/>
    <x v="2"/>
    <n v="2"/>
    <n v="1466.07"/>
    <n v="294"/>
  </r>
  <r>
    <s v="ORD0321"/>
    <x v="215"/>
    <x v="0"/>
    <x v="2"/>
    <x v="2"/>
    <n v="1"/>
    <n v="512.61"/>
    <n v="73.44"/>
  </r>
  <r>
    <s v="ORD0322"/>
    <x v="100"/>
    <x v="1"/>
    <x v="2"/>
    <x v="2"/>
    <n v="5"/>
    <n v="1596.43"/>
    <n v="522.71"/>
  </r>
  <r>
    <s v="ORD0323"/>
    <x v="216"/>
    <x v="2"/>
    <x v="7"/>
    <x v="3"/>
    <n v="5"/>
    <n v="5288.49"/>
    <n v="1830.55"/>
  </r>
  <r>
    <s v="ORD0324"/>
    <x v="174"/>
    <x v="3"/>
    <x v="11"/>
    <x v="1"/>
    <n v="5"/>
    <n v="600.51"/>
    <n v="201.83"/>
  </r>
  <r>
    <s v="ORD0325"/>
    <x v="155"/>
    <x v="1"/>
    <x v="1"/>
    <x v="1"/>
    <n v="6"/>
    <n v="6796.95"/>
    <n v="1775.79"/>
  </r>
  <r>
    <s v="ORD0326"/>
    <x v="217"/>
    <x v="3"/>
    <x v="11"/>
    <x v="1"/>
    <n v="3"/>
    <n v="1184.6199999999999"/>
    <n v="153.58000000000001"/>
  </r>
  <r>
    <s v="ORD0327"/>
    <x v="187"/>
    <x v="0"/>
    <x v="9"/>
    <x v="2"/>
    <n v="5"/>
    <n v="5180.8599999999997"/>
    <n v="616.39"/>
  </r>
  <r>
    <s v="ORD0328"/>
    <x v="218"/>
    <x v="2"/>
    <x v="11"/>
    <x v="1"/>
    <n v="9"/>
    <n v="5935.42"/>
    <n v="1097.3"/>
  </r>
  <r>
    <s v="ORD0329"/>
    <x v="58"/>
    <x v="2"/>
    <x v="5"/>
    <x v="3"/>
    <n v="2"/>
    <n v="2221.12"/>
    <n v="685.72"/>
  </r>
  <r>
    <s v="ORD0330"/>
    <x v="39"/>
    <x v="2"/>
    <x v="3"/>
    <x v="0"/>
    <n v="7"/>
    <n v="5773.06"/>
    <n v="1401.64"/>
  </r>
  <r>
    <s v="ORD0331"/>
    <x v="219"/>
    <x v="2"/>
    <x v="10"/>
    <x v="2"/>
    <n v="4"/>
    <n v="4199.58"/>
    <n v="713.51"/>
  </r>
  <r>
    <s v="ORD0332"/>
    <x v="220"/>
    <x v="2"/>
    <x v="2"/>
    <x v="2"/>
    <n v="2"/>
    <n v="1817.82"/>
    <n v="515.66"/>
  </r>
  <r>
    <s v="ORD0333"/>
    <x v="188"/>
    <x v="1"/>
    <x v="1"/>
    <x v="1"/>
    <n v="9"/>
    <n v="3778.72"/>
    <n v="591.09"/>
  </r>
  <r>
    <s v="ORD0334"/>
    <x v="221"/>
    <x v="3"/>
    <x v="6"/>
    <x v="3"/>
    <n v="6"/>
    <n v="3838.43"/>
    <n v="822.44"/>
  </r>
  <r>
    <s v="ORD0335"/>
    <x v="222"/>
    <x v="2"/>
    <x v="7"/>
    <x v="3"/>
    <n v="6"/>
    <n v="2459.16"/>
    <n v="227.09"/>
  </r>
  <r>
    <s v="ORD0336"/>
    <x v="223"/>
    <x v="1"/>
    <x v="3"/>
    <x v="0"/>
    <n v="9"/>
    <n v="10124.75"/>
    <n v="2393.17"/>
  </r>
  <r>
    <s v="ORD0337"/>
    <x v="224"/>
    <x v="3"/>
    <x v="9"/>
    <x v="2"/>
    <n v="6"/>
    <n v="1887.13"/>
    <n v="441.29"/>
  </r>
  <r>
    <s v="ORD0338"/>
    <x v="90"/>
    <x v="3"/>
    <x v="6"/>
    <x v="3"/>
    <n v="8"/>
    <n v="9291.8799999999992"/>
    <n v="2353.2399999999998"/>
  </r>
  <r>
    <s v="ORD0339"/>
    <x v="225"/>
    <x v="2"/>
    <x v="2"/>
    <x v="2"/>
    <n v="6"/>
    <n v="1467.93"/>
    <n v="402.92"/>
  </r>
  <r>
    <s v="ORD0340"/>
    <x v="26"/>
    <x v="0"/>
    <x v="8"/>
    <x v="0"/>
    <n v="1"/>
    <n v="1014.93"/>
    <n v="101.56"/>
  </r>
  <r>
    <s v="ORD0341"/>
    <x v="88"/>
    <x v="2"/>
    <x v="3"/>
    <x v="0"/>
    <n v="3"/>
    <n v="3056.78"/>
    <n v="435.55"/>
  </r>
  <r>
    <s v="ORD0342"/>
    <x v="63"/>
    <x v="3"/>
    <x v="0"/>
    <x v="0"/>
    <n v="9"/>
    <n v="5169.7"/>
    <n v="497.95"/>
  </r>
  <r>
    <s v="ORD0343"/>
    <x v="214"/>
    <x v="1"/>
    <x v="1"/>
    <x v="1"/>
    <n v="1"/>
    <n v="662.04"/>
    <n v="126.49"/>
  </r>
  <r>
    <s v="ORD0344"/>
    <x v="226"/>
    <x v="0"/>
    <x v="7"/>
    <x v="3"/>
    <n v="9"/>
    <n v="8866.18"/>
    <n v="2322.84"/>
  </r>
  <r>
    <s v="ORD0345"/>
    <x v="71"/>
    <x v="1"/>
    <x v="8"/>
    <x v="0"/>
    <n v="3"/>
    <n v="981.34"/>
    <n v="242.73"/>
  </r>
  <r>
    <s v="ORD0346"/>
    <x v="227"/>
    <x v="2"/>
    <x v="6"/>
    <x v="3"/>
    <n v="2"/>
    <n v="958.02"/>
    <n v="181.67"/>
  </r>
  <r>
    <s v="ORD0347"/>
    <x v="178"/>
    <x v="0"/>
    <x v="10"/>
    <x v="2"/>
    <n v="2"/>
    <n v="1603.59"/>
    <n v="499.87"/>
  </r>
  <r>
    <s v="ORD0348"/>
    <x v="228"/>
    <x v="2"/>
    <x v="11"/>
    <x v="1"/>
    <n v="7"/>
    <n v="4799.25"/>
    <n v="456.65"/>
  </r>
  <r>
    <s v="ORD0349"/>
    <x v="206"/>
    <x v="0"/>
    <x v="3"/>
    <x v="0"/>
    <n v="7"/>
    <n v="5541.5"/>
    <n v="938.97"/>
  </r>
  <r>
    <s v="ORD0350"/>
    <x v="31"/>
    <x v="1"/>
    <x v="9"/>
    <x v="2"/>
    <n v="10"/>
    <n v="5968.25"/>
    <n v="552.49"/>
  </r>
  <r>
    <s v="ORD0351"/>
    <x v="118"/>
    <x v="3"/>
    <x v="0"/>
    <x v="0"/>
    <n v="6"/>
    <n v="408.04"/>
    <n v="55.47"/>
  </r>
  <r>
    <s v="ORD0352"/>
    <x v="68"/>
    <x v="1"/>
    <x v="3"/>
    <x v="0"/>
    <n v="3"/>
    <n v="2095.66"/>
    <n v="488.31"/>
  </r>
  <r>
    <s v="ORD0353"/>
    <x v="229"/>
    <x v="1"/>
    <x v="4"/>
    <x v="1"/>
    <n v="3"/>
    <n v="2877.22"/>
    <n v="765.67"/>
  </r>
  <r>
    <s v="ORD0354"/>
    <x v="230"/>
    <x v="3"/>
    <x v="0"/>
    <x v="0"/>
    <n v="7"/>
    <n v="2218.7600000000002"/>
    <n v="223.04"/>
  </r>
  <r>
    <s v="ORD0355"/>
    <x v="6"/>
    <x v="1"/>
    <x v="7"/>
    <x v="3"/>
    <n v="5"/>
    <n v="4755.3999999999996"/>
    <n v="958.92"/>
  </r>
  <r>
    <s v="ORD0356"/>
    <x v="91"/>
    <x v="1"/>
    <x v="11"/>
    <x v="1"/>
    <n v="3"/>
    <n v="2494.9499999999998"/>
    <n v="644.65"/>
  </r>
  <r>
    <s v="ORD0357"/>
    <x v="231"/>
    <x v="2"/>
    <x v="2"/>
    <x v="2"/>
    <n v="2"/>
    <n v="288.69"/>
    <n v="35.119999999999997"/>
  </r>
  <r>
    <s v="ORD0358"/>
    <x v="20"/>
    <x v="3"/>
    <x v="11"/>
    <x v="1"/>
    <n v="6"/>
    <n v="1035.2"/>
    <n v="84.27"/>
  </r>
  <r>
    <s v="ORD0359"/>
    <x v="232"/>
    <x v="3"/>
    <x v="6"/>
    <x v="3"/>
    <n v="2"/>
    <n v="404.77"/>
    <n v="52.86"/>
  </r>
  <r>
    <s v="ORD0360"/>
    <x v="111"/>
    <x v="1"/>
    <x v="0"/>
    <x v="0"/>
    <n v="2"/>
    <n v="914"/>
    <n v="96.09"/>
  </r>
  <r>
    <s v="ORD0361"/>
    <x v="153"/>
    <x v="2"/>
    <x v="1"/>
    <x v="1"/>
    <n v="5"/>
    <n v="2629.41"/>
    <n v="763.52"/>
  </r>
  <r>
    <s v="ORD0362"/>
    <x v="233"/>
    <x v="3"/>
    <x v="2"/>
    <x v="2"/>
    <n v="7"/>
    <n v="1714.49"/>
    <n v="261.64999999999998"/>
  </r>
  <r>
    <s v="ORD0363"/>
    <x v="110"/>
    <x v="0"/>
    <x v="9"/>
    <x v="2"/>
    <n v="3"/>
    <n v="1649.63"/>
    <n v="319.52999999999997"/>
  </r>
  <r>
    <s v="ORD0364"/>
    <x v="234"/>
    <x v="2"/>
    <x v="6"/>
    <x v="3"/>
    <n v="4"/>
    <n v="3516.14"/>
    <n v="751.99"/>
  </r>
  <r>
    <s v="ORD0365"/>
    <x v="235"/>
    <x v="3"/>
    <x v="1"/>
    <x v="1"/>
    <n v="3"/>
    <n v="1201.07"/>
    <n v="403.78"/>
  </r>
  <r>
    <s v="ORD0366"/>
    <x v="236"/>
    <x v="2"/>
    <x v="6"/>
    <x v="3"/>
    <n v="6"/>
    <n v="3271.25"/>
    <n v="989.08"/>
  </r>
  <r>
    <s v="ORD0367"/>
    <x v="35"/>
    <x v="2"/>
    <x v="6"/>
    <x v="3"/>
    <n v="10"/>
    <n v="11393.71"/>
    <n v="1529.38"/>
  </r>
  <r>
    <s v="ORD0368"/>
    <x v="100"/>
    <x v="2"/>
    <x v="11"/>
    <x v="1"/>
    <n v="5"/>
    <n v="4475.53"/>
    <n v="1122.8399999999999"/>
  </r>
  <r>
    <s v="ORD0369"/>
    <x v="75"/>
    <x v="2"/>
    <x v="6"/>
    <x v="3"/>
    <n v="5"/>
    <n v="4944.84"/>
    <n v="920.2"/>
  </r>
  <r>
    <s v="ORD0370"/>
    <x v="88"/>
    <x v="2"/>
    <x v="2"/>
    <x v="2"/>
    <n v="9"/>
    <n v="728.58"/>
    <n v="201.34"/>
  </r>
  <r>
    <s v="ORD0371"/>
    <x v="132"/>
    <x v="3"/>
    <x v="11"/>
    <x v="1"/>
    <n v="2"/>
    <n v="1983.62"/>
    <n v="584.83000000000004"/>
  </r>
  <r>
    <s v="ORD0372"/>
    <x v="237"/>
    <x v="3"/>
    <x v="2"/>
    <x v="2"/>
    <n v="5"/>
    <n v="1641.62"/>
    <n v="423.27"/>
  </r>
  <r>
    <s v="ORD0373"/>
    <x v="238"/>
    <x v="3"/>
    <x v="3"/>
    <x v="0"/>
    <n v="10"/>
    <n v="6011.2"/>
    <n v="1131.4100000000001"/>
  </r>
  <r>
    <s v="ORD0374"/>
    <x v="130"/>
    <x v="2"/>
    <x v="3"/>
    <x v="0"/>
    <n v="9"/>
    <n v="6596.04"/>
    <n v="2156.17"/>
  </r>
  <r>
    <s v="ORD0375"/>
    <x v="76"/>
    <x v="3"/>
    <x v="7"/>
    <x v="3"/>
    <n v="10"/>
    <n v="1009.41"/>
    <n v="348.83"/>
  </r>
  <r>
    <s v="ORD0376"/>
    <x v="239"/>
    <x v="2"/>
    <x v="6"/>
    <x v="3"/>
    <n v="2"/>
    <n v="124.26"/>
    <n v="18.62"/>
  </r>
  <r>
    <s v="ORD0377"/>
    <x v="84"/>
    <x v="2"/>
    <x v="11"/>
    <x v="1"/>
    <n v="7"/>
    <n v="4077.66"/>
    <n v="1074.3800000000001"/>
  </r>
  <r>
    <s v="ORD0378"/>
    <x v="91"/>
    <x v="0"/>
    <x v="7"/>
    <x v="3"/>
    <n v="8"/>
    <n v="1361.85"/>
    <n v="261.89999999999998"/>
  </r>
  <r>
    <s v="ORD0379"/>
    <x v="216"/>
    <x v="3"/>
    <x v="10"/>
    <x v="2"/>
    <n v="5"/>
    <n v="2222.63"/>
    <n v="648.46"/>
  </r>
  <r>
    <s v="ORD0380"/>
    <x v="180"/>
    <x v="0"/>
    <x v="6"/>
    <x v="3"/>
    <n v="2"/>
    <n v="1107.78"/>
    <n v="297.02"/>
  </r>
  <r>
    <s v="ORD0381"/>
    <x v="130"/>
    <x v="2"/>
    <x v="7"/>
    <x v="3"/>
    <n v="2"/>
    <n v="151.94999999999999"/>
    <n v="26.23"/>
  </r>
  <r>
    <s v="ORD0382"/>
    <x v="240"/>
    <x v="3"/>
    <x v="2"/>
    <x v="2"/>
    <n v="3"/>
    <n v="2054.09"/>
    <n v="347.9"/>
  </r>
  <r>
    <s v="ORD0383"/>
    <x v="241"/>
    <x v="0"/>
    <x v="10"/>
    <x v="2"/>
    <n v="3"/>
    <n v="793.03"/>
    <n v="204.18"/>
  </r>
  <r>
    <s v="ORD0384"/>
    <x v="40"/>
    <x v="2"/>
    <x v="10"/>
    <x v="2"/>
    <n v="10"/>
    <n v="5439.86"/>
    <n v="441.72"/>
  </r>
  <r>
    <s v="ORD0385"/>
    <x v="51"/>
    <x v="2"/>
    <x v="5"/>
    <x v="3"/>
    <n v="2"/>
    <n v="1427.9"/>
    <n v="422.47"/>
  </r>
  <r>
    <s v="ORD0386"/>
    <x v="225"/>
    <x v="1"/>
    <x v="6"/>
    <x v="3"/>
    <n v="4"/>
    <n v="2304.73"/>
    <n v="347.63"/>
  </r>
  <r>
    <s v="ORD0387"/>
    <x v="175"/>
    <x v="2"/>
    <x v="4"/>
    <x v="1"/>
    <n v="7"/>
    <n v="5075.3900000000003"/>
    <n v="882.81"/>
  </r>
  <r>
    <s v="ORD0388"/>
    <x v="242"/>
    <x v="2"/>
    <x v="5"/>
    <x v="3"/>
    <n v="10"/>
    <n v="1474.65"/>
    <n v="171.3"/>
  </r>
  <r>
    <s v="ORD0389"/>
    <x v="243"/>
    <x v="3"/>
    <x v="7"/>
    <x v="3"/>
    <n v="3"/>
    <n v="1437.91"/>
    <n v="169.91"/>
  </r>
  <r>
    <s v="ORD0390"/>
    <x v="217"/>
    <x v="2"/>
    <x v="2"/>
    <x v="2"/>
    <n v="7"/>
    <n v="3755.46"/>
    <n v="793.91"/>
  </r>
  <r>
    <s v="ORD0391"/>
    <x v="244"/>
    <x v="0"/>
    <x v="10"/>
    <x v="2"/>
    <n v="5"/>
    <n v="1056.71"/>
    <n v="174.29"/>
  </r>
  <r>
    <s v="ORD0392"/>
    <x v="12"/>
    <x v="3"/>
    <x v="7"/>
    <x v="3"/>
    <n v="8"/>
    <n v="1656.12"/>
    <n v="497.02"/>
  </r>
  <r>
    <s v="ORD0393"/>
    <x v="225"/>
    <x v="2"/>
    <x v="4"/>
    <x v="1"/>
    <n v="8"/>
    <n v="4223.8"/>
    <n v="1295.74"/>
  </r>
  <r>
    <s v="ORD0394"/>
    <x v="178"/>
    <x v="1"/>
    <x v="8"/>
    <x v="0"/>
    <n v="1"/>
    <n v="965.26"/>
    <n v="134.69999999999999"/>
  </r>
  <r>
    <s v="ORD0395"/>
    <x v="60"/>
    <x v="0"/>
    <x v="2"/>
    <x v="2"/>
    <n v="5"/>
    <n v="1217.2"/>
    <n v="247.67"/>
  </r>
  <r>
    <s v="ORD0396"/>
    <x v="158"/>
    <x v="3"/>
    <x v="3"/>
    <x v="0"/>
    <n v="9"/>
    <n v="8970.98"/>
    <n v="1606.28"/>
  </r>
  <r>
    <s v="ORD0397"/>
    <x v="160"/>
    <x v="1"/>
    <x v="10"/>
    <x v="2"/>
    <n v="2"/>
    <n v="1792.77"/>
    <n v="459.83"/>
  </r>
  <r>
    <s v="ORD0398"/>
    <x v="107"/>
    <x v="0"/>
    <x v="3"/>
    <x v="0"/>
    <n v="5"/>
    <n v="2254.3200000000002"/>
    <n v="677.46"/>
  </r>
  <r>
    <s v="ORD0399"/>
    <x v="131"/>
    <x v="3"/>
    <x v="9"/>
    <x v="2"/>
    <n v="10"/>
    <n v="8425.0400000000009"/>
    <n v="2632.68"/>
  </r>
  <r>
    <s v="ORD0400"/>
    <x v="25"/>
    <x v="1"/>
    <x v="2"/>
    <x v="2"/>
    <n v="3"/>
    <n v="2857.73"/>
    <n v="856.33"/>
  </r>
  <r>
    <s v="ORD0401"/>
    <x v="245"/>
    <x v="1"/>
    <x v="5"/>
    <x v="3"/>
    <n v="9"/>
    <n v="2192.71"/>
    <n v="755.02"/>
  </r>
  <r>
    <s v="ORD0402"/>
    <x v="146"/>
    <x v="0"/>
    <x v="5"/>
    <x v="3"/>
    <n v="2"/>
    <n v="411.85"/>
    <n v="116.36"/>
  </r>
  <r>
    <s v="ORD0403"/>
    <x v="170"/>
    <x v="1"/>
    <x v="5"/>
    <x v="3"/>
    <n v="3"/>
    <n v="2569.92"/>
    <n v="297.66000000000003"/>
  </r>
  <r>
    <s v="ORD0404"/>
    <x v="233"/>
    <x v="3"/>
    <x v="2"/>
    <x v="2"/>
    <n v="7"/>
    <n v="4290.1400000000003"/>
    <n v="1012.07"/>
  </r>
  <r>
    <s v="ORD0405"/>
    <x v="58"/>
    <x v="3"/>
    <x v="11"/>
    <x v="1"/>
    <n v="2"/>
    <n v="1557.34"/>
    <n v="494.66"/>
  </r>
  <r>
    <s v="ORD0406"/>
    <x v="246"/>
    <x v="0"/>
    <x v="5"/>
    <x v="3"/>
    <n v="6"/>
    <n v="3437.4"/>
    <n v="727.95"/>
  </r>
  <r>
    <s v="ORD0407"/>
    <x v="247"/>
    <x v="3"/>
    <x v="8"/>
    <x v="0"/>
    <n v="8"/>
    <n v="6240.53"/>
    <n v="1674.13"/>
  </r>
  <r>
    <s v="ORD0408"/>
    <x v="248"/>
    <x v="1"/>
    <x v="10"/>
    <x v="2"/>
    <n v="4"/>
    <n v="2475.69"/>
    <n v="413.87"/>
  </r>
  <r>
    <s v="ORD0409"/>
    <x v="249"/>
    <x v="0"/>
    <x v="2"/>
    <x v="2"/>
    <n v="8"/>
    <n v="7652.39"/>
    <n v="2459.64"/>
  </r>
  <r>
    <s v="ORD0410"/>
    <x v="36"/>
    <x v="3"/>
    <x v="8"/>
    <x v="0"/>
    <n v="8"/>
    <n v="549.79"/>
    <n v="181.95"/>
  </r>
  <r>
    <s v="ORD0411"/>
    <x v="209"/>
    <x v="1"/>
    <x v="1"/>
    <x v="1"/>
    <n v="7"/>
    <n v="1978.66"/>
    <n v="526.16"/>
  </r>
  <r>
    <s v="ORD0412"/>
    <x v="145"/>
    <x v="2"/>
    <x v="10"/>
    <x v="2"/>
    <n v="2"/>
    <n v="1605.55"/>
    <n v="236.99"/>
  </r>
  <r>
    <s v="ORD0413"/>
    <x v="70"/>
    <x v="0"/>
    <x v="3"/>
    <x v="0"/>
    <n v="5"/>
    <n v="4424.43"/>
    <n v="1256.1500000000001"/>
  </r>
  <r>
    <s v="ORD0414"/>
    <x v="92"/>
    <x v="3"/>
    <x v="0"/>
    <x v="0"/>
    <n v="4"/>
    <n v="2393.31"/>
    <n v="277.20999999999998"/>
  </r>
  <r>
    <s v="ORD0415"/>
    <x v="237"/>
    <x v="2"/>
    <x v="0"/>
    <x v="0"/>
    <n v="6"/>
    <n v="5938.05"/>
    <n v="2059.33"/>
  </r>
  <r>
    <s v="ORD0416"/>
    <x v="0"/>
    <x v="0"/>
    <x v="1"/>
    <x v="1"/>
    <n v="4"/>
    <n v="1962.12"/>
    <n v="544.11"/>
  </r>
  <r>
    <s v="ORD0417"/>
    <x v="250"/>
    <x v="2"/>
    <x v="6"/>
    <x v="3"/>
    <n v="5"/>
    <n v="1038.49"/>
    <n v="299.95"/>
  </r>
  <r>
    <s v="ORD0418"/>
    <x v="251"/>
    <x v="1"/>
    <x v="8"/>
    <x v="0"/>
    <n v="10"/>
    <n v="597.46"/>
    <n v="152.65"/>
  </r>
  <r>
    <s v="ORD0419"/>
    <x v="45"/>
    <x v="2"/>
    <x v="2"/>
    <x v="2"/>
    <n v="3"/>
    <n v="3323.63"/>
    <n v="818.74"/>
  </r>
  <r>
    <s v="ORD0420"/>
    <x v="115"/>
    <x v="1"/>
    <x v="0"/>
    <x v="0"/>
    <n v="3"/>
    <n v="2745.94"/>
    <n v="656.79"/>
  </r>
  <r>
    <s v="ORD0421"/>
    <x v="252"/>
    <x v="1"/>
    <x v="11"/>
    <x v="1"/>
    <n v="3"/>
    <n v="1004.86"/>
    <n v="255.28"/>
  </r>
  <r>
    <s v="ORD0422"/>
    <x v="213"/>
    <x v="3"/>
    <x v="8"/>
    <x v="0"/>
    <n v="5"/>
    <n v="1431.31"/>
    <n v="349.05"/>
  </r>
  <r>
    <s v="ORD0423"/>
    <x v="94"/>
    <x v="3"/>
    <x v="5"/>
    <x v="3"/>
    <n v="1"/>
    <n v="951.37"/>
    <n v="280.01"/>
  </r>
  <r>
    <s v="ORD0424"/>
    <x v="22"/>
    <x v="0"/>
    <x v="1"/>
    <x v="1"/>
    <n v="4"/>
    <n v="2498.08"/>
    <n v="600.44000000000005"/>
  </r>
  <r>
    <s v="ORD0425"/>
    <x v="253"/>
    <x v="1"/>
    <x v="6"/>
    <x v="3"/>
    <n v="3"/>
    <n v="1484.59"/>
    <n v="455.06"/>
  </r>
  <r>
    <s v="ORD0426"/>
    <x v="17"/>
    <x v="2"/>
    <x v="10"/>
    <x v="2"/>
    <n v="2"/>
    <n v="138.38999999999999"/>
    <n v="13.59"/>
  </r>
  <r>
    <s v="ORD0427"/>
    <x v="98"/>
    <x v="3"/>
    <x v="0"/>
    <x v="0"/>
    <n v="7"/>
    <n v="4428.22"/>
    <n v="1105.79"/>
  </r>
  <r>
    <s v="ORD0428"/>
    <x v="234"/>
    <x v="2"/>
    <x v="4"/>
    <x v="1"/>
    <n v="7"/>
    <n v="1013.54"/>
    <n v="227.92"/>
  </r>
  <r>
    <s v="ORD0429"/>
    <x v="42"/>
    <x v="1"/>
    <x v="7"/>
    <x v="3"/>
    <n v="5"/>
    <n v="704.37"/>
    <n v="231.49"/>
  </r>
  <r>
    <s v="ORD0430"/>
    <x v="94"/>
    <x v="0"/>
    <x v="4"/>
    <x v="1"/>
    <n v="2"/>
    <n v="813.39"/>
    <n v="161.15"/>
  </r>
  <r>
    <s v="ORD0431"/>
    <x v="254"/>
    <x v="1"/>
    <x v="9"/>
    <x v="2"/>
    <n v="7"/>
    <n v="1283.69"/>
    <n v="314.92"/>
  </r>
  <r>
    <s v="ORD0432"/>
    <x v="255"/>
    <x v="3"/>
    <x v="9"/>
    <x v="2"/>
    <n v="1"/>
    <n v="864.09"/>
    <n v="232.79"/>
  </r>
  <r>
    <s v="ORD0433"/>
    <x v="256"/>
    <x v="1"/>
    <x v="5"/>
    <x v="3"/>
    <n v="9"/>
    <n v="8553.92"/>
    <n v="2348.96"/>
  </r>
  <r>
    <s v="ORD0434"/>
    <x v="142"/>
    <x v="1"/>
    <x v="2"/>
    <x v="2"/>
    <n v="5"/>
    <n v="4464.38"/>
    <n v="499.45"/>
  </r>
  <r>
    <s v="ORD0435"/>
    <x v="27"/>
    <x v="0"/>
    <x v="11"/>
    <x v="1"/>
    <n v="9"/>
    <n v="1111.08"/>
    <n v="302.58"/>
  </r>
  <r>
    <s v="ORD0436"/>
    <x v="204"/>
    <x v="2"/>
    <x v="11"/>
    <x v="1"/>
    <n v="9"/>
    <n v="4177.28"/>
    <n v="897.68"/>
  </r>
  <r>
    <s v="ORD0437"/>
    <x v="257"/>
    <x v="0"/>
    <x v="7"/>
    <x v="3"/>
    <n v="5"/>
    <n v="4696.6400000000003"/>
    <n v="1509.75"/>
  </r>
  <r>
    <s v="ORD0438"/>
    <x v="258"/>
    <x v="2"/>
    <x v="2"/>
    <x v="2"/>
    <n v="9"/>
    <n v="476.58"/>
    <n v="148.62"/>
  </r>
  <r>
    <s v="ORD0439"/>
    <x v="203"/>
    <x v="3"/>
    <x v="3"/>
    <x v="0"/>
    <n v="6"/>
    <n v="2942.56"/>
    <n v="354.65"/>
  </r>
  <r>
    <s v="ORD0440"/>
    <x v="81"/>
    <x v="0"/>
    <x v="10"/>
    <x v="2"/>
    <n v="4"/>
    <n v="2114.7800000000002"/>
    <n v="580.46"/>
  </r>
  <r>
    <s v="ORD0441"/>
    <x v="72"/>
    <x v="0"/>
    <x v="7"/>
    <x v="3"/>
    <n v="9"/>
    <n v="7418.92"/>
    <n v="699.02"/>
  </r>
  <r>
    <s v="ORD0442"/>
    <x v="108"/>
    <x v="1"/>
    <x v="1"/>
    <x v="1"/>
    <n v="8"/>
    <n v="8367.5"/>
    <n v="2416.9699999999998"/>
  </r>
  <r>
    <s v="ORD0443"/>
    <x v="259"/>
    <x v="1"/>
    <x v="8"/>
    <x v="0"/>
    <n v="8"/>
    <n v="473.32"/>
    <n v="63.51"/>
  </r>
  <r>
    <s v="ORD0444"/>
    <x v="260"/>
    <x v="2"/>
    <x v="10"/>
    <x v="2"/>
    <n v="6"/>
    <n v="4382.67"/>
    <n v="934.42"/>
  </r>
  <r>
    <s v="ORD0445"/>
    <x v="80"/>
    <x v="0"/>
    <x v="9"/>
    <x v="2"/>
    <n v="7"/>
    <n v="542.48"/>
    <n v="122.72"/>
  </r>
  <r>
    <s v="ORD0446"/>
    <x v="173"/>
    <x v="2"/>
    <x v="7"/>
    <x v="3"/>
    <n v="7"/>
    <n v="7184.5"/>
    <n v="1985.42"/>
  </r>
  <r>
    <s v="ORD0447"/>
    <x v="149"/>
    <x v="1"/>
    <x v="10"/>
    <x v="2"/>
    <n v="8"/>
    <n v="9242.9"/>
    <n v="3166.53"/>
  </r>
  <r>
    <s v="ORD0448"/>
    <x v="74"/>
    <x v="1"/>
    <x v="0"/>
    <x v="0"/>
    <n v="4"/>
    <n v="4327.5200000000004"/>
    <n v="953.5"/>
  </r>
  <r>
    <s v="ORD0449"/>
    <x v="63"/>
    <x v="3"/>
    <x v="4"/>
    <x v="1"/>
    <n v="2"/>
    <n v="1435.77"/>
    <n v="310.79000000000002"/>
  </r>
  <r>
    <s v="ORD0450"/>
    <x v="261"/>
    <x v="2"/>
    <x v="8"/>
    <x v="0"/>
    <n v="10"/>
    <n v="1216.25"/>
    <n v="314.83999999999997"/>
  </r>
  <r>
    <s v="ORD0451"/>
    <x v="54"/>
    <x v="1"/>
    <x v="6"/>
    <x v="3"/>
    <n v="6"/>
    <n v="6689.69"/>
    <n v="1244.93"/>
  </r>
  <r>
    <s v="ORD0452"/>
    <x v="67"/>
    <x v="0"/>
    <x v="11"/>
    <x v="1"/>
    <n v="4"/>
    <n v="543.55999999999995"/>
    <n v="73.239999999999995"/>
  </r>
  <r>
    <s v="ORD0453"/>
    <x v="78"/>
    <x v="1"/>
    <x v="9"/>
    <x v="2"/>
    <n v="3"/>
    <n v="1701.01"/>
    <n v="280.31"/>
  </r>
  <r>
    <s v="ORD0454"/>
    <x v="102"/>
    <x v="2"/>
    <x v="10"/>
    <x v="2"/>
    <n v="5"/>
    <n v="2914.24"/>
    <n v="903.91"/>
  </r>
  <r>
    <s v="ORD0455"/>
    <x v="54"/>
    <x v="2"/>
    <x v="5"/>
    <x v="3"/>
    <n v="10"/>
    <n v="963.79"/>
    <n v="294.63"/>
  </r>
  <r>
    <s v="ORD0456"/>
    <x v="200"/>
    <x v="1"/>
    <x v="8"/>
    <x v="0"/>
    <n v="4"/>
    <n v="4654.6400000000003"/>
    <n v="870.35"/>
  </r>
  <r>
    <s v="ORD0457"/>
    <x v="148"/>
    <x v="2"/>
    <x v="7"/>
    <x v="3"/>
    <n v="1"/>
    <n v="1144.9100000000001"/>
    <n v="355.77"/>
  </r>
  <r>
    <s v="ORD0458"/>
    <x v="258"/>
    <x v="0"/>
    <x v="3"/>
    <x v="0"/>
    <n v="2"/>
    <n v="1948.96"/>
    <n v="229.48"/>
  </r>
  <r>
    <s v="ORD0459"/>
    <x v="262"/>
    <x v="0"/>
    <x v="9"/>
    <x v="2"/>
    <n v="4"/>
    <n v="3988.9"/>
    <n v="720.02"/>
  </r>
  <r>
    <s v="ORD0460"/>
    <x v="127"/>
    <x v="3"/>
    <x v="7"/>
    <x v="3"/>
    <n v="1"/>
    <n v="1196.74"/>
    <n v="159.63999999999999"/>
  </r>
  <r>
    <s v="ORD0461"/>
    <x v="200"/>
    <x v="2"/>
    <x v="9"/>
    <x v="2"/>
    <n v="6"/>
    <n v="1145.44"/>
    <n v="383.05"/>
  </r>
  <r>
    <s v="ORD0462"/>
    <x v="240"/>
    <x v="2"/>
    <x v="4"/>
    <x v="1"/>
    <n v="7"/>
    <n v="4343.82"/>
    <n v="796.38"/>
  </r>
  <r>
    <s v="ORD0463"/>
    <x v="46"/>
    <x v="0"/>
    <x v="7"/>
    <x v="3"/>
    <n v="3"/>
    <n v="1098.69"/>
    <n v="220.2"/>
  </r>
  <r>
    <s v="ORD0464"/>
    <x v="182"/>
    <x v="0"/>
    <x v="2"/>
    <x v="2"/>
    <n v="5"/>
    <n v="3118.63"/>
    <n v="992.82"/>
  </r>
  <r>
    <s v="ORD0465"/>
    <x v="165"/>
    <x v="2"/>
    <x v="3"/>
    <x v="0"/>
    <n v="7"/>
    <n v="1454.75"/>
    <n v="194.72"/>
  </r>
  <r>
    <s v="ORD0466"/>
    <x v="86"/>
    <x v="1"/>
    <x v="3"/>
    <x v="0"/>
    <n v="6"/>
    <n v="3609.82"/>
    <n v="1050.4100000000001"/>
  </r>
  <r>
    <s v="ORD0467"/>
    <x v="142"/>
    <x v="1"/>
    <x v="11"/>
    <x v="1"/>
    <n v="3"/>
    <n v="239.92"/>
    <n v="57.87"/>
  </r>
  <r>
    <s v="ORD0468"/>
    <x v="263"/>
    <x v="2"/>
    <x v="3"/>
    <x v="0"/>
    <n v="9"/>
    <n v="4149.43"/>
    <n v="986.22"/>
  </r>
  <r>
    <s v="ORD0469"/>
    <x v="254"/>
    <x v="2"/>
    <x v="0"/>
    <x v="0"/>
    <n v="4"/>
    <n v="1426.02"/>
    <n v="428.37"/>
  </r>
  <r>
    <s v="ORD0470"/>
    <x v="264"/>
    <x v="1"/>
    <x v="11"/>
    <x v="1"/>
    <n v="3"/>
    <n v="757.55"/>
    <n v="181.8"/>
  </r>
  <r>
    <s v="ORD0471"/>
    <x v="259"/>
    <x v="2"/>
    <x v="8"/>
    <x v="0"/>
    <n v="6"/>
    <n v="6838.16"/>
    <n v="1587.64"/>
  </r>
  <r>
    <s v="ORD0472"/>
    <x v="254"/>
    <x v="2"/>
    <x v="4"/>
    <x v="1"/>
    <n v="5"/>
    <n v="1259.45"/>
    <n v="113.67"/>
  </r>
  <r>
    <s v="ORD0473"/>
    <x v="265"/>
    <x v="2"/>
    <x v="9"/>
    <x v="2"/>
    <n v="9"/>
    <n v="5397.19"/>
    <n v="915.19"/>
  </r>
  <r>
    <s v="ORD0474"/>
    <x v="99"/>
    <x v="0"/>
    <x v="10"/>
    <x v="2"/>
    <n v="3"/>
    <n v="3319.79"/>
    <n v="1022.35"/>
  </r>
  <r>
    <s v="ORD0475"/>
    <x v="140"/>
    <x v="1"/>
    <x v="0"/>
    <x v="0"/>
    <n v="10"/>
    <n v="8604.01"/>
    <n v="1017.39"/>
  </r>
  <r>
    <s v="ORD0476"/>
    <x v="99"/>
    <x v="2"/>
    <x v="3"/>
    <x v="0"/>
    <n v="7"/>
    <n v="5067.43"/>
    <n v="865.88"/>
  </r>
  <r>
    <s v="ORD0477"/>
    <x v="266"/>
    <x v="1"/>
    <x v="2"/>
    <x v="2"/>
    <n v="7"/>
    <n v="6724.33"/>
    <n v="2282.09"/>
  </r>
  <r>
    <s v="ORD0478"/>
    <x v="267"/>
    <x v="2"/>
    <x v="2"/>
    <x v="2"/>
    <n v="9"/>
    <n v="7628.35"/>
    <n v="2523.37"/>
  </r>
  <r>
    <s v="ORD0479"/>
    <x v="268"/>
    <x v="0"/>
    <x v="10"/>
    <x v="2"/>
    <n v="5"/>
    <n v="4470.47"/>
    <n v="713.13"/>
  </r>
  <r>
    <s v="ORD0480"/>
    <x v="269"/>
    <x v="2"/>
    <x v="4"/>
    <x v="1"/>
    <n v="1"/>
    <n v="259.39"/>
    <n v="43.04"/>
  </r>
  <r>
    <s v="ORD0481"/>
    <x v="184"/>
    <x v="1"/>
    <x v="3"/>
    <x v="0"/>
    <n v="3"/>
    <n v="1292.53"/>
    <n v="130.56"/>
  </r>
  <r>
    <s v="ORD0482"/>
    <x v="161"/>
    <x v="3"/>
    <x v="2"/>
    <x v="2"/>
    <n v="2"/>
    <n v="1989.82"/>
    <n v="519.16"/>
  </r>
  <r>
    <s v="ORD0483"/>
    <x v="270"/>
    <x v="0"/>
    <x v="3"/>
    <x v="0"/>
    <n v="4"/>
    <n v="1347.89"/>
    <n v="132.5"/>
  </r>
  <r>
    <s v="ORD0484"/>
    <x v="256"/>
    <x v="3"/>
    <x v="0"/>
    <x v="0"/>
    <n v="7"/>
    <n v="3877.67"/>
    <n v="749.58"/>
  </r>
  <r>
    <s v="ORD0485"/>
    <x v="182"/>
    <x v="2"/>
    <x v="11"/>
    <x v="1"/>
    <n v="6"/>
    <n v="4067.57"/>
    <n v="436.8"/>
  </r>
  <r>
    <s v="ORD0486"/>
    <x v="137"/>
    <x v="1"/>
    <x v="10"/>
    <x v="2"/>
    <n v="2"/>
    <n v="1938.15"/>
    <n v="172.54"/>
  </r>
  <r>
    <s v="ORD0487"/>
    <x v="103"/>
    <x v="0"/>
    <x v="7"/>
    <x v="3"/>
    <n v="2"/>
    <n v="886.16"/>
    <n v="283.33999999999997"/>
  </r>
  <r>
    <s v="ORD0488"/>
    <x v="271"/>
    <x v="0"/>
    <x v="3"/>
    <x v="0"/>
    <n v="10"/>
    <n v="11830.68"/>
    <n v="3799.67"/>
  </r>
  <r>
    <s v="ORD0489"/>
    <x v="272"/>
    <x v="0"/>
    <x v="4"/>
    <x v="1"/>
    <n v="3"/>
    <n v="2245.25"/>
    <n v="442.84"/>
  </r>
  <r>
    <s v="ORD0490"/>
    <x v="128"/>
    <x v="1"/>
    <x v="7"/>
    <x v="3"/>
    <n v="4"/>
    <n v="2082.69"/>
    <n v="478.21"/>
  </r>
  <r>
    <s v="ORD0491"/>
    <x v="104"/>
    <x v="3"/>
    <x v="6"/>
    <x v="3"/>
    <n v="4"/>
    <n v="641.21"/>
    <n v="119.32"/>
  </r>
  <r>
    <s v="ORD0492"/>
    <x v="273"/>
    <x v="3"/>
    <x v="9"/>
    <x v="2"/>
    <n v="6"/>
    <n v="326.33"/>
    <n v="33.83"/>
  </r>
  <r>
    <s v="ORD0493"/>
    <x v="38"/>
    <x v="3"/>
    <x v="9"/>
    <x v="2"/>
    <n v="1"/>
    <n v="288"/>
    <n v="72.67"/>
  </r>
  <r>
    <s v="ORD0494"/>
    <x v="4"/>
    <x v="0"/>
    <x v="3"/>
    <x v="0"/>
    <n v="7"/>
    <n v="4141.1000000000004"/>
    <n v="1331.85"/>
  </r>
  <r>
    <s v="ORD0495"/>
    <x v="177"/>
    <x v="0"/>
    <x v="1"/>
    <x v="1"/>
    <n v="6"/>
    <n v="6409.9"/>
    <n v="1152.1099999999999"/>
  </r>
  <r>
    <s v="ORD0496"/>
    <x v="259"/>
    <x v="0"/>
    <x v="6"/>
    <x v="3"/>
    <n v="8"/>
    <n v="2823.29"/>
    <n v="863.96"/>
  </r>
  <r>
    <s v="ORD0497"/>
    <x v="274"/>
    <x v="3"/>
    <x v="2"/>
    <x v="2"/>
    <n v="2"/>
    <n v="297.13"/>
    <n v="51.35"/>
  </r>
  <r>
    <s v="ORD0498"/>
    <x v="196"/>
    <x v="3"/>
    <x v="2"/>
    <x v="2"/>
    <n v="1"/>
    <n v="1016.92"/>
    <n v="306.06"/>
  </r>
  <r>
    <s v="ORD0499"/>
    <x v="275"/>
    <x v="2"/>
    <x v="10"/>
    <x v="2"/>
    <n v="5"/>
    <n v="703.99"/>
    <n v="227.92"/>
  </r>
  <r>
    <s v="ORD0500"/>
    <x v="276"/>
    <x v="2"/>
    <x v="3"/>
    <x v="0"/>
    <n v="3"/>
    <n v="3424.26"/>
    <n v="428.49"/>
  </r>
  <r>
    <s v="ORD0501"/>
    <x v="277"/>
    <x v="2"/>
    <x v="9"/>
    <x v="2"/>
    <n v="7"/>
    <n v="980.87"/>
    <n v="259.39"/>
  </r>
  <r>
    <s v="ORD0502"/>
    <x v="5"/>
    <x v="1"/>
    <x v="6"/>
    <x v="3"/>
    <n v="2"/>
    <n v="300.16000000000003"/>
    <n v="69.099999999999994"/>
  </r>
  <r>
    <s v="ORD0503"/>
    <x v="74"/>
    <x v="3"/>
    <x v="5"/>
    <x v="3"/>
    <n v="8"/>
    <n v="8837.89"/>
    <n v="736.53"/>
  </r>
  <r>
    <s v="ORD0504"/>
    <x v="201"/>
    <x v="0"/>
    <x v="3"/>
    <x v="0"/>
    <n v="3"/>
    <n v="661.29"/>
    <n v="157.88"/>
  </r>
  <r>
    <s v="ORD0505"/>
    <x v="4"/>
    <x v="3"/>
    <x v="3"/>
    <x v="0"/>
    <n v="9"/>
    <n v="9559.41"/>
    <n v="3030.63"/>
  </r>
  <r>
    <s v="ORD0506"/>
    <x v="105"/>
    <x v="2"/>
    <x v="4"/>
    <x v="1"/>
    <n v="10"/>
    <n v="5940.04"/>
    <n v="751.38"/>
  </r>
  <r>
    <s v="ORD0507"/>
    <x v="32"/>
    <x v="0"/>
    <x v="1"/>
    <x v="1"/>
    <n v="7"/>
    <n v="7511.07"/>
    <n v="1273.1500000000001"/>
  </r>
  <r>
    <s v="ORD0508"/>
    <x v="278"/>
    <x v="1"/>
    <x v="11"/>
    <x v="1"/>
    <n v="6"/>
    <n v="439.61"/>
    <n v="132.19"/>
  </r>
  <r>
    <s v="ORD0509"/>
    <x v="41"/>
    <x v="3"/>
    <x v="6"/>
    <x v="3"/>
    <n v="2"/>
    <n v="2336.7399999999998"/>
    <n v="330.76"/>
  </r>
  <r>
    <s v="ORD0510"/>
    <x v="45"/>
    <x v="2"/>
    <x v="6"/>
    <x v="3"/>
    <n v="7"/>
    <n v="5220.08"/>
    <n v="543.45000000000005"/>
  </r>
  <r>
    <s v="ORD0511"/>
    <x v="254"/>
    <x v="2"/>
    <x v="4"/>
    <x v="1"/>
    <n v="8"/>
    <n v="7387.34"/>
    <n v="2320.67"/>
  </r>
  <r>
    <s v="ORD0512"/>
    <x v="155"/>
    <x v="0"/>
    <x v="3"/>
    <x v="0"/>
    <n v="9"/>
    <n v="4625.04"/>
    <n v="1344.68"/>
  </r>
  <r>
    <s v="ORD0513"/>
    <x v="279"/>
    <x v="0"/>
    <x v="9"/>
    <x v="2"/>
    <n v="4"/>
    <n v="4050.09"/>
    <n v="596.83000000000004"/>
  </r>
  <r>
    <s v="ORD0514"/>
    <x v="208"/>
    <x v="3"/>
    <x v="5"/>
    <x v="3"/>
    <n v="4"/>
    <n v="1460.3"/>
    <n v="441.52"/>
  </r>
  <r>
    <s v="ORD0515"/>
    <x v="177"/>
    <x v="2"/>
    <x v="8"/>
    <x v="0"/>
    <n v="1"/>
    <n v="328.23"/>
    <n v="69.58"/>
  </r>
  <r>
    <s v="ORD0516"/>
    <x v="83"/>
    <x v="0"/>
    <x v="4"/>
    <x v="1"/>
    <n v="9"/>
    <n v="4070.01"/>
    <n v="505.29"/>
  </r>
  <r>
    <s v="ORD0517"/>
    <x v="40"/>
    <x v="2"/>
    <x v="7"/>
    <x v="3"/>
    <n v="7"/>
    <n v="749.69"/>
    <n v="232.8"/>
  </r>
  <r>
    <s v="ORD0518"/>
    <x v="137"/>
    <x v="0"/>
    <x v="2"/>
    <x v="2"/>
    <n v="4"/>
    <n v="1437.78"/>
    <n v="273.99"/>
  </r>
  <r>
    <s v="ORD0519"/>
    <x v="71"/>
    <x v="1"/>
    <x v="1"/>
    <x v="1"/>
    <n v="3"/>
    <n v="2223.94"/>
    <n v="183"/>
  </r>
  <r>
    <s v="ORD0520"/>
    <x v="215"/>
    <x v="3"/>
    <x v="6"/>
    <x v="3"/>
    <n v="7"/>
    <n v="7205.27"/>
    <n v="1469.37"/>
  </r>
  <r>
    <s v="ORD0521"/>
    <x v="0"/>
    <x v="0"/>
    <x v="5"/>
    <x v="3"/>
    <n v="9"/>
    <n v="8981.6200000000008"/>
    <n v="1681.64"/>
  </r>
  <r>
    <s v="ORD0522"/>
    <x v="130"/>
    <x v="3"/>
    <x v="5"/>
    <x v="3"/>
    <n v="10"/>
    <n v="7504.08"/>
    <n v="1205.07"/>
  </r>
  <r>
    <s v="ORD0523"/>
    <x v="280"/>
    <x v="1"/>
    <x v="3"/>
    <x v="0"/>
    <n v="5"/>
    <n v="3933.42"/>
    <n v="1229.5999999999999"/>
  </r>
  <r>
    <s v="ORD0524"/>
    <x v="281"/>
    <x v="3"/>
    <x v="9"/>
    <x v="2"/>
    <n v="9"/>
    <n v="8372.66"/>
    <n v="2703.66"/>
  </r>
  <r>
    <s v="ORD0525"/>
    <x v="129"/>
    <x v="1"/>
    <x v="5"/>
    <x v="3"/>
    <n v="3"/>
    <n v="2638.43"/>
    <n v="677.97"/>
  </r>
  <r>
    <s v="ORD0526"/>
    <x v="282"/>
    <x v="2"/>
    <x v="11"/>
    <x v="1"/>
    <n v="7"/>
    <n v="6280.69"/>
    <n v="1491.14"/>
  </r>
  <r>
    <s v="ORD0527"/>
    <x v="59"/>
    <x v="1"/>
    <x v="5"/>
    <x v="3"/>
    <n v="4"/>
    <n v="3357.06"/>
    <n v="847.14"/>
  </r>
  <r>
    <s v="ORD0528"/>
    <x v="283"/>
    <x v="1"/>
    <x v="7"/>
    <x v="3"/>
    <n v="9"/>
    <n v="2324.7600000000002"/>
    <n v="247.24"/>
  </r>
  <r>
    <s v="ORD0529"/>
    <x v="72"/>
    <x v="1"/>
    <x v="2"/>
    <x v="2"/>
    <n v="6"/>
    <n v="4815.6000000000004"/>
    <n v="674.22"/>
  </r>
  <r>
    <s v="ORD0530"/>
    <x v="242"/>
    <x v="3"/>
    <x v="11"/>
    <x v="1"/>
    <n v="6"/>
    <n v="2097.86"/>
    <n v="334.39"/>
  </r>
  <r>
    <s v="ORD0531"/>
    <x v="197"/>
    <x v="2"/>
    <x v="8"/>
    <x v="0"/>
    <n v="10"/>
    <n v="7173.6"/>
    <n v="1776.02"/>
  </r>
  <r>
    <s v="ORD0532"/>
    <x v="65"/>
    <x v="2"/>
    <x v="8"/>
    <x v="0"/>
    <n v="7"/>
    <n v="4615.2"/>
    <n v="883.99"/>
  </r>
  <r>
    <s v="ORD0533"/>
    <x v="175"/>
    <x v="2"/>
    <x v="10"/>
    <x v="2"/>
    <n v="7"/>
    <n v="8296.89"/>
    <n v="2663.87"/>
  </r>
  <r>
    <s v="ORD0534"/>
    <x v="284"/>
    <x v="2"/>
    <x v="5"/>
    <x v="3"/>
    <n v="3"/>
    <n v="2837.35"/>
    <n v="600.52"/>
  </r>
  <r>
    <s v="ORD0535"/>
    <x v="285"/>
    <x v="2"/>
    <x v="5"/>
    <x v="3"/>
    <n v="1"/>
    <n v="55.42"/>
    <n v="8.5299999999999994"/>
  </r>
  <r>
    <s v="ORD0536"/>
    <x v="105"/>
    <x v="3"/>
    <x v="1"/>
    <x v="1"/>
    <n v="3"/>
    <n v="2269.96"/>
    <n v="569.85"/>
  </r>
  <r>
    <s v="ORD0537"/>
    <x v="169"/>
    <x v="0"/>
    <x v="11"/>
    <x v="1"/>
    <n v="1"/>
    <n v="93.38"/>
    <n v="12.5"/>
  </r>
  <r>
    <s v="ORD0538"/>
    <x v="252"/>
    <x v="2"/>
    <x v="5"/>
    <x v="3"/>
    <n v="4"/>
    <n v="282.41000000000003"/>
    <n v="22.91"/>
  </r>
  <r>
    <s v="ORD0539"/>
    <x v="93"/>
    <x v="2"/>
    <x v="6"/>
    <x v="3"/>
    <n v="3"/>
    <n v="504.34"/>
    <n v="108.89"/>
  </r>
  <r>
    <s v="ORD0540"/>
    <x v="216"/>
    <x v="1"/>
    <x v="0"/>
    <x v="0"/>
    <n v="5"/>
    <n v="5703.66"/>
    <n v="1158.4100000000001"/>
  </r>
  <r>
    <s v="ORD0541"/>
    <x v="286"/>
    <x v="2"/>
    <x v="4"/>
    <x v="1"/>
    <n v="3"/>
    <n v="1332.43"/>
    <n v="430.87"/>
  </r>
  <r>
    <s v="ORD0542"/>
    <x v="209"/>
    <x v="2"/>
    <x v="10"/>
    <x v="2"/>
    <n v="1"/>
    <n v="312.68"/>
    <n v="86.4"/>
  </r>
  <r>
    <s v="ORD0543"/>
    <x v="236"/>
    <x v="0"/>
    <x v="8"/>
    <x v="0"/>
    <n v="9"/>
    <n v="2198.9899999999998"/>
    <n v="393.57"/>
  </r>
  <r>
    <s v="ORD0544"/>
    <x v="287"/>
    <x v="0"/>
    <x v="4"/>
    <x v="1"/>
    <n v="5"/>
    <n v="4684.6899999999996"/>
    <n v="1162.96"/>
  </r>
  <r>
    <s v="ORD0545"/>
    <x v="143"/>
    <x v="3"/>
    <x v="8"/>
    <x v="0"/>
    <n v="1"/>
    <n v="105.47"/>
    <n v="11.73"/>
  </r>
  <r>
    <s v="ORD0546"/>
    <x v="288"/>
    <x v="0"/>
    <x v="8"/>
    <x v="0"/>
    <n v="5"/>
    <n v="2977.78"/>
    <n v="361.34"/>
  </r>
  <r>
    <s v="ORD0547"/>
    <x v="289"/>
    <x v="2"/>
    <x v="6"/>
    <x v="3"/>
    <n v="2"/>
    <n v="1623.71"/>
    <n v="248.26"/>
  </r>
  <r>
    <s v="ORD0548"/>
    <x v="75"/>
    <x v="0"/>
    <x v="1"/>
    <x v="1"/>
    <n v="9"/>
    <n v="7889.23"/>
    <n v="881.92"/>
  </r>
  <r>
    <s v="ORD0549"/>
    <x v="290"/>
    <x v="2"/>
    <x v="1"/>
    <x v="1"/>
    <n v="10"/>
    <n v="2797.12"/>
    <n v="422.39"/>
  </r>
  <r>
    <s v="ORD0550"/>
    <x v="152"/>
    <x v="2"/>
    <x v="5"/>
    <x v="3"/>
    <n v="7"/>
    <n v="2727.58"/>
    <n v="247.23"/>
  </r>
  <r>
    <s v="ORD0551"/>
    <x v="140"/>
    <x v="3"/>
    <x v="11"/>
    <x v="1"/>
    <n v="4"/>
    <n v="212.59"/>
    <n v="55.56"/>
  </r>
  <r>
    <s v="ORD0552"/>
    <x v="270"/>
    <x v="2"/>
    <x v="9"/>
    <x v="2"/>
    <n v="9"/>
    <n v="1226.75"/>
    <n v="337.8"/>
  </r>
  <r>
    <s v="ORD0553"/>
    <x v="174"/>
    <x v="0"/>
    <x v="11"/>
    <x v="1"/>
    <n v="5"/>
    <n v="2919.59"/>
    <n v="312.25"/>
  </r>
  <r>
    <s v="ORD0554"/>
    <x v="121"/>
    <x v="0"/>
    <x v="6"/>
    <x v="3"/>
    <n v="6"/>
    <n v="3239.37"/>
    <n v="360.52"/>
  </r>
  <r>
    <s v="ORD0555"/>
    <x v="69"/>
    <x v="1"/>
    <x v="2"/>
    <x v="2"/>
    <n v="3"/>
    <n v="1283.8800000000001"/>
    <n v="412.8"/>
  </r>
  <r>
    <s v="ORD0556"/>
    <x v="279"/>
    <x v="1"/>
    <x v="3"/>
    <x v="0"/>
    <n v="6"/>
    <n v="1561.8"/>
    <n v="293.95"/>
  </r>
  <r>
    <s v="ORD0557"/>
    <x v="256"/>
    <x v="0"/>
    <x v="4"/>
    <x v="1"/>
    <n v="8"/>
    <n v="7759.07"/>
    <n v="1980.03"/>
  </r>
  <r>
    <s v="ORD0558"/>
    <x v="173"/>
    <x v="3"/>
    <x v="2"/>
    <x v="2"/>
    <n v="1"/>
    <n v="1178.8"/>
    <n v="363.04"/>
  </r>
  <r>
    <s v="ORD0559"/>
    <x v="286"/>
    <x v="0"/>
    <x v="4"/>
    <x v="1"/>
    <n v="8"/>
    <n v="2067.6"/>
    <n v="377.4"/>
  </r>
  <r>
    <s v="ORD0560"/>
    <x v="121"/>
    <x v="0"/>
    <x v="10"/>
    <x v="2"/>
    <n v="8"/>
    <n v="1439.02"/>
    <n v="274.92"/>
  </r>
  <r>
    <s v="ORD0561"/>
    <x v="155"/>
    <x v="2"/>
    <x v="5"/>
    <x v="3"/>
    <n v="6"/>
    <n v="385.29"/>
    <n v="121.15"/>
  </r>
  <r>
    <s v="ORD0562"/>
    <x v="291"/>
    <x v="2"/>
    <x v="5"/>
    <x v="3"/>
    <n v="9"/>
    <n v="7573.3"/>
    <n v="1870.03"/>
  </r>
  <r>
    <s v="ORD0563"/>
    <x v="269"/>
    <x v="0"/>
    <x v="11"/>
    <x v="1"/>
    <n v="7"/>
    <n v="1546.67"/>
    <n v="468.85"/>
  </r>
  <r>
    <s v="ORD0564"/>
    <x v="60"/>
    <x v="2"/>
    <x v="8"/>
    <x v="0"/>
    <n v="3"/>
    <n v="1894.21"/>
    <n v="391.55"/>
  </r>
  <r>
    <s v="ORD0565"/>
    <x v="200"/>
    <x v="2"/>
    <x v="3"/>
    <x v="0"/>
    <n v="6"/>
    <n v="1962.15"/>
    <n v="670.94"/>
  </r>
  <r>
    <s v="ORD0566"/>
    <x v="292"/>
    <x v="3"/>
    <x v="11"/>
    <x v="1"/>
    <n v="4"/>
    <n v="562.62"/>
    <n v="112.49"/>
  </r>
  <r>
    <s v="ORD0567"/>
    <x v="29"/>
    <x v="0"/>
    <x v="3"/>
    <x v="0"/>
    <n v="8"/>
    <n v="3307.77"/>
    <n v="1140.46"/>
  </r>
  <r>
    <s v="ORD0568"/>
    <x v="102"/>
    <x v="1"/>
    <x v="3"/>
    <x v="0"/>
    <n v="7"/>
    <n v="638.45000000000005"/>
    <n v="145.72999999999999"/>
  </r>
  <r>
    <s v="ORD0569"/>
    <x v="272"/>
    <x v="2"/>
    <x v="2"/>
    <x v="2"/>
    <n v="8"/>
    <n v="9143.27"/>
    <n v="1628.44"/>
  </r>
  <r>
    <s v="ORD0570"/>
    <x v="162"/>
    <x v="1"/>
    <x v="11"/>
    <x v="1"/>
    <n v="9"/>
    <n v="8392.76"/>
    <n v="2030.94"/>
  </r>
  <r>
    <s v="ORD0571"/>
    <x v="16"/>
    <x v="1"/>
    <x v="1"/>
    <x v="1"/>
    <n v="2"/>
    <n v="1846.44"/>
    <n v="258.26"/>
  </r>
  <r>
    <s v="ORD0572"/>
    <x v="293"/>
    <x v="3"/>
    <x v="5"/>
    <x v="3"/>
    <n v="9"/>
    <n v="4319.7700000000004"/>
    <n v="469.59"/>
  </r>
  <r>
    <s v="ORD0573"/>
    <x v="213"/>
    <x v="0"/>
    <x v="2"/>
    <x v="2"/>
    <n v="7"/>
    <n v="1211.04"/>
    <n v="296.62"/>
  </r>
  <r>
    <s v="ORD0574"/>
    <x v="24"/>
    <x v="0"/>
    <x v="1"/>
    <x v="1"/>
    <n v="8"/>
    <n v="7985.9"/>
    <n v="1049.8"/>
  </r>
  <r>
    <s v="ORD0575"/>
    <x v="175"/>
    <x v="2"/>
    <x v="1"/>
    <x v="1"/>
    <n v="10"/>
    <n v="1917.02"/>
    <n v="614.92999999999995"/>
  </r>
  <r>
    <s v="ORD0576"/>
    <x v="291"/>
    <x v="3"/>
    <x v="1"/>
    <x v="1"/>
    <n v="9"/>
    <n v="8069.81"/>
    <n v="1850.98"/>
  </r>
  <r>
    <s v="ORD0577"/>
    <x v="173"/>
    <x v="3"/>
    <x v="2"/>
    <x v="2"/>
    <n v="10"/>
    <n v="2496.98"/>
    <n v="749.38"/>
  </r>
  <r>
    <s v="ORD0578"/>
    <x v="85"/>
    <x v="2"/>
    <x v="5"/>
    <x v="3"/>
    <n v="7"/>
    <n v="3720.25"/>
    <n v="909.33"/>
  </r>
  <r>
    <s v="ORD0579"/>
    <x v="250"/>
    <x v="2"/>
    <x v="6"/>
    <x v="3"/>
    <n v="6"/>
    <n v="6996.39"/>
    <n v="1415.15"/>
  </r>
  <r>
    <s v="ORD0580"/>
    <x v="35"/>
    <x v="2"/>
    <x v="4"/>
    <x v="1"/>
    <n v="9"/>
    <n v="3543.75"/>
    <n v="954.7"/>
  </r>
  <r>
    <s v="ORD0581"/>
    <x v="190"/>
    <x v="2"/>
    <x v="9"/>
    <x v="2"/>
    <n v="10"/>
    <n v="8715.42"/>
    <n v="2312.94"/>
  </r>
  <r>
    <s v="ORD0582"/>
    <x v="294"/>
    <x v="1"/>
    <x v="2"/>
    <x v="2"/>
    <n v="9"/>
    <n v="7636.13"/>
    <n v="1275.56"/>
  </r>
  <r>
    <s v="ORD0583"/>
    <x v="257"/>
    <x v="1"/>
    <x v="4"/>
    <x v="1"/>
    <n v="10"/>
    <n v="11340.75"/>
    <n v="3081.66"/>
  </r>
  <r>
    <s v="ORD0584"/>
    <x v="272"/>
    <x v="0"/>
    <x v="1"/>
    <x v="1"/>
    <n v="9"/>
    <n v="1551.97"/>
    <n v="283.75"/>
  </r>
  <r>
    <s v="ORD0585"/>
    <x v="170"/>
    <x v="0"/>
    <x v="10"/>
    <x v="2"/>
    <n v="3"/>
    <n v="3543.19"/>
    <n v="937.23"/>
  </r>
  <r>
    <s v="ORD0586"/>
    <x v="0"/>
    <x v="2"/>
    <x v="7"/>
    <x v="3"/>
    <n v="9"/>
    <n v="784.37"/>
    <n v="235.14"/>
  </r>
  <r>
    <s v="ORD0587"/>
    <x v="97"/>
    <x v="0"/>
    <x v="1"/>
    <x v="1"/>
    <n v="9"/>
    <n v="8567.58"/>
    <n v="2533.2800000000002"/>
  </r>
  <r>
    <s v="ORD0588"/>
    <x v="35"/>
    <x v="0"/>
    <x v="11"/>
    <x v="1"/>
    <n v="7"/>
    <n v="8051.45"/>
    <n v="2765.45"/>
  </r>
  <r>
    <s v="ORD0589"/>
    <x v="45"/>
    <x v="2"/>
    <x v="8"/>
    <x v="0"/>
    <n v="5"/>
    <n v="1417.75"/>
    <n v="446.01"/>
  </r>
  <r>
    <s v="ORD0590"/>
    <x v="191"/>
    <x v="1"/>
    <x v="5"/>
    <x v="3"/>
    <n v="9"/>
    <n v="8092.96"/>
    <n v="1076.74"/>
  </r>
  <r>
    <s v="ORD0591"/>
    <x v="295"/>
    <x v="0"/>
    <x v="1"/>
    <x v="1"/>
    <n v="2"/>
    <n v="530.04999999999995"/>
    <n v="67.28"/>
  </r>
  <r>
    <s v="ORD0592"/>
    <x v="103"/>
    <x v="1"/>
    <x v="1"/>
    <x v="1"/>
    <n v="7"/>
    <n v="2596.85"/>
    <n v="393.02"/>
  </r>
  <r>
    <s v="ORD0593"/>
    <x v="73"/>
    <x v="1"/>
    <x v="3"/>
    <x v="0"/>
    <n v="8"/>
    <n v="6929.14"/>
    <n v="843.95"/>
  </r>
  <r>
    <s v="ORD0594"/>
    <x v="292"/>
    <x v="1"/>
    <x v="8"/>
    <x v="0"/>
    <n v="10"/>
    <n v="10196.11"/>
    <n v="1644.75"/>
  </r>
  <r>
    <s v="ORD0595"/>
    <x v="216"/>
    <x v="0"/>
    <x v="8"/>
    <x v="0"/>
    <n v="6"/>
    <n v="3925.23"/>
    <n v="1328.25"/>
  </r>
  <r>
    <s v="ORD0596"/>
    <x v="222"/>
    <x v="2"/>
    <x v="10"/>
    <x v="2"/>
    <n v="9"/>
    <n v="6008.32"/>
    <n v="629.82000000000005"/>
  </r>
  <r>
    <s v="ORD0597"/>
    <x v="296"/>
    <x v="3"/>
    <x v="6"/>
    <x v="3"/>
    <n v="6"/>
    <n v="2325.66"/>
    <n v="782.78"/>
  </r>
  <r>
    <s v="ORD0598"/>
    <x v="265"/>
    <x v="2"/>
    <x v="0"/>
    <x v="0"/>
    <n v="6"/>
    <n v="3375.1"/>
    <n v="1094.25"/>
  </r>
  <r>
    <s v="ORD0599"/>
    <x v="75"/>
    <x v="3"/>
    <x v="8"/>
    <x v="0"/>
    <n v="6"/>
    <n v="2931.47"/>
    <n v="864.71"/>
  </r>
  <r>
    <s v="ORD0600"/>
    <x v="169"/>
    <x v="3"/>
    <x v="5"/>
    <x v="3"/>
    <n v="5"/>
    <n v="392.06"/>
    <n v="86.08"/>
  </r>
  <r>
    <s v="ORD0601"/>
    <x v="295"/>
    <x v="0"/>
    <x v="1"/>
    <x v="1"/>
    <n v="5"/>
    <n v="5415.12"/>
    <n v="714.68"/>
  </r>
  <r>
    <s v="ORD0602"/>
    <x v="56"/>
    <x v="2"/>
    <x v="0"/>
    <x v="0"/>
    <n v="9"/>
    <n v="5968.68"/>
    <n v="1487.82"/>
  </r>
  <r>
    <s v="ORD0603"/>
    <x v="120"/>
    <x v="0"/>
    <x v="1"/>
    <x v="1"/>
    <n v="4"/>
    <n v="2673.67"/>
    <n v="721.2"/>
  </r>
  <r>
    <s v="ORD0604"/>
    <x v="39"/>
    <x v="0"/>
    <x v="9"/>
    <x v="2"/>
    <n v="8"/>
    <n v="6995.19"/>
    <n v="631.16999999999996"/>
  </r>
  <r>
    <s v="ORD0605"/>
    <x v="83"/>
    <x v="3"/>
    <x v="10"/>
    <x v="2"/>
    <n v="9"/>
    <n v="1179.08"/>
    <n v="355.89"/>
  </r>
  <r>
    <s v="ORD0606"/>
    <x v="190"/>
    <x v="0"/>
    <x v="11"/>
    <x v="1"/>
    <n v="7"/>
    <n v="3835.85"/>
    <n v="324.36"/>
  </r>
  <r>
    <s v="ORD0607"/>
    <x v="121"/>
    <x v="0"/>
    <x v="8"/>
    <x v="0"/>
    <n v="10"/>
    <n v="1227.23"/>
    <n v="345.35"/>
  </r>
  <r>
    <s v="ORD0608"/>
    <x v="289"/>
    <x v="0"/>
    <x v="5"/>
    <x v="3"/>
    <n v="2"/>
    <n v="766.62"/>
    <n v="203.3"/>
  </r>
  <r>
    <s v="ORD0609"/>
    <x v="57"/>
    <x v="2"/>
    <x v="6"/>
    <x v="3"/>
    <n v="7"/>
    <n v="3530.66"/>
    <n v="912.31"/>
  </r>
  <r>
    <s v="ORD0610"/>
    <x v="129"/>
    <x v="2"/>
    <x v="9"/>
    <x v="2"/>
    <n v="7"/>
    <n v="6764"/>
    <n v="2092.4899999999998"/>
  </r>
  <r>
    <s v="ORD0611"/>
    <x v="148"/>
    <x v="2"/>
    <x v="5"/>
    <x v="3"/>
    <n v="6"/>
    <n v="6906"/>
    <n v="573.27"/>
  </r>
  <r>
    <s v="ORD0612"/>
    <x v="297"/>
    <x v="0"/>
    <x v="0"/>
    <x v="0"/>
    <n v="1"/>
    <n v="708.63"/>
    <n v="132.09"/>
  </r>
  <r>
    <s v="ORD0613"/>
    <x v="150"/>
    <x v="2"/>
    <x v="7"/>
    <x v="3"/>
    <n v="6"/>
    <n v="1760.98"/>
    <n v="571.47"/>
  </r>
  <r>
    <s v="ORD0614"/>
    <x v="75"/>
    <x v="2"/>
    <x v="9"/>
    <x v="2"/>
    <n v="4"/>
    <n v="3037.67"/>
    <n v="450.31"/>
  </r>
  <r>
    <s v="ORD0615"/>
    <x v="23"/>
    <x v="0"/>
    <x v="8"/>
    <x v="0"/>
    <n v="8"/>
    <n v="6331.01"/>
    <n v="631.51"/>
  </r>
  <r>
    <s v="ORD0616"/>
    <x v="117"/>
    <x v="1"/>
    <x v="7"/>
    <x v="3"/>
    <n v="4"/>
    <n v="3537.71"/>
    <n v="748.37"/>
  </r>
  <r>
    <s v="ORD0617"/>
    <x v="191"/>
    <x v="1"/>
    <x v="2"/>
    <x v="2"/>
    <n v="4"/>
    <n v="660.21"/>
    <n v="163.25"/>
  </r>
  <r>
    <s v="ORD0618"/>
    <x v="67"/>
    <x v="2"/>
    <x v="11"/>
    <x v="1"/>
    <n v="6"/>
    <n v="4552.76"/>
    <n v="739.97"/>
  </r>
  <r>
    <s v="ORD0619"/>
    <x v="222"/>
    <x v="3"/>
    <x v="6"/>
    <x v="3"/>
    <n v="7"/>
    <n v="1707.55"/>
    <n v="281.01"/>
  </r>
  <r>
    <s v="ORD0620"/>
    <x v="182"/>
    <x v="3"/>
    <x v="6"/>
    <x v="3"/>
    <n v="3"/>
    <n v="2494.5500000000002"/>
    <n v="422.88"/>
  </r>
  <r>
    <s v="ORD0621"/>
    <x v="127"/>
    <x v="0"/>
    <x v="11"/>
    <x v="1"/>
    <n v="5"/>
    <n v="3050.09"/>
    <n v="333.63"/>
  </r>
  <r>
    <s v="ORD0622"/>
    <x v="298"/>
    <x v="0"/>
    <x v="7"/>
    <x v="3"/>
    <n v="9"/>
    <n v="2483.0700000000002"/>
    <n v="690.44"/>
  </r>
  <r>
    <s v="ORD0623"/>
    <x v="157"/>
    <x v="3"/>
    <x v="0"/>
    <x v="0"/>
    <n v="9"/>
    <n v="6987.33"/>
    <n v="2092.1"/>
  </r>
  <r>
    <s v="ORD0624"/>
    <x v="128"/>
    <x v="3"/>
    <x v="9"/>
    <x v="2"/>
    <n v="9"/>
    <n v="3147.38"/>
    <n v="1011.49"/>
  </r>
  <r>
    <s v="ORD0625"/>
    <x v="299"/>
    <x v="2"/>
    <x v="10"/>
    <x v="2"/>
    <n v="7"/>
    <n v="2147.62"/>
    <n v="619.54"/>
  </r>
  <r>
    <s v="ORD0626"/>
    <x v="207"/>
    <x v="2"/>
    <x v="4"/>
    <x v="1"/>
    <n v="9"/>
    <n v="1387.23"/>
    <n v="247.27"/>
  </r>
  <r>
    <s v="ORD0627"/>
    <x v="227"/>
    <x v="2"/>
    <x v="2"/>
    <x v="2"/>
    <n v="3"/>
    <n v="1689.46"/>
    <n v="216.87"/>
  </r>
  <r>
    <s v="ORD0628"/>
    <x v="247"/>
    <x v="1"/>
    <x v="11"/>
    <x v="1"/>
    <n v="1"/>
    <n v="301.64"/>
    <n v="63.85"/>
  </r>
  <r>
    <s v="ORD0629"/>
    <x v="300"/>
    <x v="3"/>
    <x v="7"/>
    <x v="3"/>
    <n v="1"/>
    <n v="818.87"/>
    <n v="180.01"/>
  </r>
  <r>
    <s v="ORD0630"/>
    <x v="0"/>
    <x v="1"/>
    <x v="11"/>
    <x v="1"/>
    <n v="1"/>
    <n v="95.89"/>
    <n v="24.46"/>
  </r>
  <r>
    <s v="ORD0631"/>
    <x v="301"/>
    <x v="1"/>
    <x v="5"/>
    <x v="3"/>
    <n v="9"/>
    <n v="6351.16"/>
    <n v="1153.99"/>
  </r>
  <r>
    <s v="ORD0632"/>
    <x v="167"/>
    <x v="3"/>
    <x v="8"/>
    <x v="0"/>
    <n v="5"/>
    <n v="2413.89"/>
    <n v="784.41"/>
  </r>
  <r>
    <s v="ORD0633"/>
    <x v="302"/>
    <x v="2"/>
    <x v="6"/>
    <x v="3"/>
    <n v="8"/>
    <n v="7692.45"/>
    <n v="2458.02"/>
  </r>
  <r>
    <s v="ORD0634"/>
    <x v="276"/>
    <x v="2"/>
    <x v="1"/>
    <x v="1"/>
    <n v="4"/>
    <n v="554.61"/>
    <n v="140.72999999999999"/>
  </r>
  <r>
    <s v="ORD0635"/>
    <x v="273"/>
    <x v="2"/>
    <x v="9"/>
    <x v="2"/>
    <n v="6"/>
    <n v="4453.9399999999996"/>
    <n v="1338.76"/>
  </r>
  <r>
    <s v="ORD0636"/>
    <x v="56"/>
    <x v="2"/>
    <x v="11"/>
    <x v="1"/>
    <n v="2"/>
    <n v="1207.49"/>
    <n v="252.7"/>
  </r>
  <r>
    <s v="ORD0637"/>
    <x v="103"/>
    <x v="2"/>
    <x v="1"/>
    <x v="1"/>
    <n v="4"/>
    <n v="398.46"/>
    <n v="93.57"/>
  </r>
  <r>
    <s v="ORD0638"/>
    <x v="166"/>
    <x v="3"/>
    <x v="8"/>
    <x v="0"/>
    <n v="3"/>
    <n v="342.9"/>
    <n v="51.34"/>
  </r>
  <r>
    <s v="ORD0639"/>
    <x v="289"/>
    <x v="3"/>
    <x v="8"/>
    <x v="0"/>
    <n v="5"/>
    <n v="5696.71"/>
    <n v="788.88"/>
  </r>
  <r>
    <s v="ORD0640"/>
    <x v="195"/>
    <x v="2"/>
    <x v="1"/>
    <x v="1"/>
    <n v="4"/>
    <n v="4019.67"/>
    <n v="973.67"/>
  </r>
  <r>
    <s v="ORD0641"/>
    <x v="50"/>
    <x v="2"/>
    <x v="7"/>
    <x v="3"/>
    <n v="6"/>
    <n v="6664.23"/>
    <n v="1606.51"/>
  </r>
  <r>
    <s v="ORD0642"/>
    <x v="208"/>
    <x v="3"/>
    <x v="11"/>
    <x v="1"/>
    <n v="3"/>
    <n v="524.57000000000005"/>
    <n v="70.63"/>
  </r>
  <r>
    <s v="ORD0643"/>
    <x v="281"/>
    <x v="0"/>
    <x v="2"/>
    <x v="2"/>
    <n v="2"/>
    <n v="508.07"/>
    <n v="164.33"/>
  </r>
  <r>
    <s v="ORD0644"/>
    <x v="128"/>
    <x v="0"/>
    <x v="0"/>
    <x v="0"/>
    <n v="8"/>
    <n v="6466.41"/>
    <n v="2092.12"/>
  </r>
  <r>
    <s v="ORD0645"/>
    <x v="122"/>
    <x v="3"/>
    <x v="4"/>
    <x v="1"/>
    <n v="7"/>
    <n v="3331.54"/>
    <n v="305.60000000000002"/>
  </r>
  <r>
    <s v="ORD0646"/>
    <x v="134"/>
    <x v="0"/>
    <x v="10"/>
    <x v="2"/>
    <n v="7"/>
    <n v="3171.67"/>
    <n v="942.77"/>
  </r>
  <r>
    <s v="ORD0647"/>
    <x v="303"/>
    <x v="1"/>
    <x v="1"/>
    <x v="1"/>
    <n v="5"/>
    <n v="2993.56"/>
    <n v="427.42"/>
  </r>
  <r>
    <s v="ORD0648"/>
    <x v="302"/>
    <x v="0"/>
    <x v="11"/>
    <x v="1"/>
    <n v="4"/>
    <n v="225.16"/>
    <n v="63.22"/>
  </r>
  <r>
    <s v="ORD0649"/>
    <x v="136"/>
    <x v="0"/>
    <x v="3"/>
    <x v="0"/>
    <n v="4"/>
    <n v="3363.73"/>
    <n v="556"/>
  </r>
  <r>
    <s v="ORD0650"/>
    <x v="237"/>
    <x v="1"/>
    <x v="10"/>
    <x v="2"/>
    <n v="10"/>
    <n v="3416.78"/>
    <n v="1062.08"/>
  </r>
  <r>
    <s v="ORD0651"/>
    <x v="192"/>
    <x v="3"/>
    <x v="5"/>
    <x v="3"/>
    <n v="7"/>
    <n v="6427.52"/>
    <n v="1231.33"/>
  </r>
  <r>
    <s v="ORD0652"/>
    <x v="20"/>
    <x v="1"/>
    <x v="10"/>
    <x v="2"/>
    <n v="9"/>
    <n v="6193.33"/>
    <n v="919.83"/>
  </r>
  <r>
    <s v="ORD0653"/>
    <x v="304"/>
    <x v="3"/>
    <x v="4"/>
    <x v="1"/>
    <n v="3"/>
    <n v="3099.75"/>
    <n v="799.76"/>
  </r>
  <r>
    <s v="ORD0654"/>
    <x v="104"/>
    <x v="0"/>
    <x v="9"/>
    <x v="2"/>
    <n v="4"/>
    <n v="2538.38"/>
    <n v="741.82"/>
  </r>
  <r>
    <s v="ORD0655"/>
    <x v="197"/>
    <x v="3"/>
    <x v="10"/>
    <x v="2"/>
    <n v="1"/>
    <n v="975.02"/>
    <n v="294.73"/>
  </r>
  <r>
    <s v="ORD0656"/>
    <x v="305"/>
    <x v="3"/>
    <x v="0"/>
    <x v="0"/>
    <n v="5"/>
    <n v="1525.18"/>
    <n v="154.97"/>
  </r>
  <r>
    <s v="ORD0657"/>
    <x v="306"/>
    <x v="2"/>
    <x v="4"/>
    <x v="1"/>
    <n v="9"/>
    <n v="3414.96"/>
    <n v="1161.6099999999999"/>
  </r>
  <r>
    <s v="ORD0658"/>
    <x v="101"/>
    <x v="1"/>
    <x v="11"/>
    <x v="1"/>
    <n v="1"/>
    <n v="281.95999999999998"/>
    <n v="72.56"/>
  </r>
  <r>
    <s v="ORD0659"/>
    <x v="265"/>
    <x v="2"/>
    <x v="9"/>
    <x v="2"/>
    <n v="10"/>
    <n v="6371.3"/>
    <n v="1711.21"/>
  </r>
  <r>
    <s v="ORD0660"/>
    <x v="82"/>
    <x v="1"/>
    <x v="3"/>
    <x v="0"/>
    <n v="4"/>
    <n v="3213.09"/>
    <n v="1103.45"/>
  </r>
  <r>
    <s v="ORD0661"/>
    <x v="219"/>
    <x v="0"/>
    <x v="11"/>
    <x v="1"/>
    <n v="7"/>
    <n v="3613.88"/>
    <n v="484.56"/>
  </r>
  <r>
    <s v="ORD0662"/>
    <x v="195"/>
    <x v="1"/>
    <x v="8"/>
    <x v="0"/>
    <n v="5"/>
    <n v="4425.3"/>
    <n v="1022.07"/>
  </r>
  <r>
    <s v="ORD0663"/>
    <x v="105"/>
    <x v="0"/>
    <x v="6"/>
    <x v="3"/>
    <n v="4"/>
    <n v="2989.27"/>
    <n v="396.14"/>
  </r>
  <r>
    <s v="ORD0664"/>
    <x v="141"/>
    <x v="1"/>
    <x v="7"/>
    <x v="3"/>
    <n v="7"/>
    <n v="4425.22"/>
    <n v="1021.47"/>
  </r>
  <r>
    <s v="ORD0665"/>
    <x v="100"/>
    <x v="1"/>
    <x v="7"/>
    <x v="3"/>
    <n v="9"/>
    <n v="10351.94"/>
    <n v="3276.91"/>
  </r>
  <r>
    <s v="ORD0666"/>
    <x v="24"/>
    <x v="3"/>
    <x v="11"/>
    <x v="1"/>
    <n v="10"/>
    <n v="6061.74"/>
    <n v="883.1"/>
  </r>
  <r>
    <s v="ORD0667"/>
    <x v="116"/>
    <x v="2"/>
    <x v="4"/>
    <x v="1"/>
    <n v="1"/>
    <n v="604.27"/>
    <n v="90.41"/>
  </r>
  <r>
    <s v="ORD0668"/>
    <x v="228"/>
    <x v="1"/>
    <x v="10"/>
    <x v="2"/>
    <n v="7"/>
    <n v="8041.34"/>
    <n v="1764.72"/>
  </r>
  <r>
    <s v="ORD0669"/>
    <x v="307"/>
    <x v="0"/>
    <x v="10"/>
    <x v="2"/>
    <n v="2"/>
    <n v="1017.54"/>
    <n v="287.12"/>
  </r>
  <r>
    <s v="ORD0670"/>
    <x v="233"/>
    <x v="2"/>
    <x v="10"/>
    <x v="2"/>
    <n v="6"/>
    <n v="2739.41"/>
    <n v="880.63"/>
  </r>
  <r>
    <s v="ORD0671"/>
    <x v="4"/>
    <x v="2"/>
    <x v="10"/>
    <x v="2"/>
    <n v="4"/>
    <n v="1280.3599999999999"/>
    <n v="186.11"/>
  </r>
  <r>
    <s v="ORD0672"/>
    <x v="61"/>
    <x v="0"/>
    <x v="9"/>
    <x v="2"/>
    <n v="4"/>
    <n v="4047.14"/>
    <n v="712.81"/>
  </r>
  <r>
    <s v="ORD0673"/>
    <x v="274"/>
    <x v="0"/>
    <x v="8"/>
    <x v="0"/>
    <n v="8"/>
    <n v="6047.21"/>
    <n v="1731.59"/>
  </r>
  <r>
    <s v="ORD0674"/>
    <x v="100"/>
    <x v="1"/>
    <x v="11"/>
    <x v="1"/>
    <n v="10"/>
    <n v="4127.29"/>
    <n v="1331.02"/>
  </r>
  <r>
    <s v="ORD0675"/>
    <x v="27"/>
    <x v="2"/>
    <x v="1"/>
    <x v="1"/>
    <n v="9"/>
    <n v="3350.76"/>
    <n v="468.99"/>
  </r>
  <r>
    <s v="ORD0676"/>
    <x v="141"/>
    <x v="1"/>
    <x v="8"/>
    <x v="0"/>
    <n v="7"/>
    <n v="4200.4799999999996"/>
    <n v="949.34"/>
  </r>
  <r>
    <s v="ORD0677"/>
    <x v="101"/>
    <x v="3"/>
    <x v="4"/>
    <x v="1"/>
    <n v="3"/>
    <n v="1727.33"/>
    <n v="194.32"/>
  </r>
  <r>
    <s v="ORD0678"/>
    <x v="246"/>
    <x v="0"/>
    <x v="5"/>
    <x v="3"/>
    <n v="1"/>
    <n v="63.59"/>
    <n v="8.7100000000000009"/>
  </r>
  <r>
    <s v="ORD0679"/>
    <x v="17"/>
    <x v="2"/>
    <x v="6"/>
    <x v="3"/>
    <n v="10"/>
    <n v="10411.18"/>
    <n v="1358.98"/>
  </r>
  <r>
    <s v="ORD0680"/>
    <x v="95"/>
    <x v="2"/>
    <x v="6"/>
    <x v="3"/>
    <n v="10"/>
    <n v="4445.6099999999997"/>
    <n v="576.4"/>
  </r>
  <r>
    <s v="ORD0681"/>
    <x v="244"/>
    <x v="2"/>
    <x v="4"/>
    <x v="1"/>
    <n v="6"/>
    <n v="2819.04"/>
    <n v="530.42999999999995"/>
  </r>
  <r>
    <s v="ORD0682"/>
    <x v="37"/>
    <x v="3"/>
    <x v="2"/>
    <x v="2"/>
    <n v="4"/>
    <n v="3945.28"/>
    <n v="1083.45"/>
  </r>
  <r>
    <s v="ORD0683"/>
    <x v="57"/>
    <x v="0"/>
    <x v="1"/>
    <x v="1"/>
    <n v="3"/>
    <n v="2910.13"/>
    <n v="813.11"/>
  </r>
  <r>
    <s v="ORD0684"/>
    <x v="262"/>
    <x v="1"/>
    <x v="10"/>
    <x v="2"/>
    <n v="8"/>
    <n v="1637.14"/>
    <n v="525.82000000000005"/>
  </r>
  <r>
    <s v="ORD0685"/>
    <x v="308"/>
    <x v="0"/>
    <x v="11"/>
    <x v="1"/>
    <n v="5"/>
    <n v="3482.3"/>
    <n v="812.47"/>
  </r>
  <r>
    <s v="ORD0686"/>
    <x v="262"/>
    <x v="0"/>
    <x v="9"/>
    <x v="2"/>
    <n v="4"/>
    <n v="3943.56"/>
    <n v="822.89"/>
  </r>
  <r>
    <s v="ORD0687"/>
    <x v="192"/>
    <x v="1"/>
    <x v="4"/>
    <x v="1"/>
    <n v="6"/>
    <n v="2092.41"/>
    <n v="370.95"/>
  </r>
  <r>
    <s v="ORD0688"/>
    <x v="289"/>
    <x v="2"/>
    <x v="7"/>
    <x v="3"/>
    <n v="7"/>
    <n v="1325.96"/>
    <n v="416.6"/>
  </r>
  <r>
    <s v="ORD0689"/>
    <x v="177"/>
    <x v="0"/>
    <x v="10"/>
    <x v="2"/>
    <n v="6"/>
    <n v="2543.12"/>
    <n v="553.94000000000005"/>
  </r>
  <r>
    <s v="ORD0690"/>
    <x v="256"/>
    <x v="1"/>
    <x v="4"/>
    <x v="1"/>
    <n v="5"/>
    <n v="2916.57"/>
    <n v="986.62"/>
  </r>
  <r>
    <s v="ORD0691"/>
    <x v="96"/>
    <x v="0"/>
    <x v="4"/>
    <x v="1"/>
    <n v="10"/>
    <n v="7073.83"/>
    <n v="2187.25"/>
  </r>
  <r>
    <s v="ORD0692"/>
    <x v="309"/>
    <x v="1"/>
    <x v="10"/>
    <x v="2"/>
    <n v="4"/>
    <n v="1642.02"/>
    <n v="420.87"/>
  </r>
  <r>
    <s v="ORD0693"/>
    <x v="310"/>
    <x v="3"/>
    <x v="11"/>
    <x v="1"/>
    <n v="8"/>
    <n v="7584.96"/>
    <n v="2529.34"/>
  </r>
  <r>
    <s v="ORD0694"/>
    <x v="37"/>
    <x v="1"/>
    <x v="1"/>
    <x v="1"/>
    <n v="3"/>
    <n v="3097.03"/>
    <n v="352.32"/>
  </r>
  <r>
    <s v="ORD0695"/>
    <x v="57"/>
    <x v="0"/>
    <x v="0"/>
    <x v="0"/>
    <n v="3"/>
    <n v="1519.81"/>
    <n v="160.80000000000001"/>
  </r>
  <r>
    <s v="ORD0696"/>
    <x v="17"/>
    <x v="2"/>
    <x v="3"/>
    <x v="0"/>
    <n v="9"/>
    <n v="8367.7099999999991"/>
    <n v="857.5"/>
  </r>
  <r>
    <s v="ORD0697"/>
    <x v="248"/>
    <x v="3"/>
    <x v="8"/>
    <x v="0"/>
    <n v="7"/>
    <n v="2840.43"/>
    <n v="416.97"/>
  </r>
  <r>
    <s v="ORD0698"/>
    <x v="311"/>
    <x v="1"/>
    <x v="9"/>
    <x v="2"/>
    <n v="9"/>
    <n v="9128.66"/>
    <n v="800.71"/>
  </r>
  <r>
    <s v="ORD0699"/>
    <x v="312"/>
    <x v="3"/>
    <x v="6"/>
    <x v="3"/>
    <n v="8"/>
    <n v="9369.83"/>
    <n v="2117.19"/>
  </r>
  <r>
    <s v="ORD0700"/>
    <x v="284"/>
    <x v="3"/>
    <x v="2"/>
    <x v="2"/>
    <n v="9"/>
    <n v="2282.33"/>
    <n v="550.84"/>
  </r>
  <r>
    <s v="ORD0701"/>
    <x v="45"/>
    <x v="1"/>
    <x v="6"/>
    <x v="3"/>
    <n v="8"/>
    <n v="5364.95"/>
    <n v="1594.84"/>
  </r>
  <r>
    <s v="ORD0702"/>
    <x v="290"/>
    <x v="2"/>
    <x v="6"/>
    <x v="3"/>
    <n v="5"/>
    <n v="1145.3800000000001"/>
    <n v="94.89"/>
  </r>
  <r>
    <s v="ORD0703"/>
    <x v="90"/>
    <x v="3"/>
    <x v="6"/>
    <x v="3"/>
    <n v="8"/>
    <n v="5322.91"/>
    <n v="1414.29"/>
  </r>
  <r>
    <s v="ORD0704"/>
    <x v="302"/>
    <x v="1"/>
    <x v="7"/>
    <x v="3"/>
    <n v="7"/>
    <n v="6773.62"/>
    <n v="1633.74"/>
  </r>
  <r>
    <s v="ORD0705"/>
    <x v="127"/>
    <x v="3"/>
    <x v="10"/>
    <x v="2"/>
    <n v="9"/>
    <n v="4974.05"/>
    <n v="733.53"/>
  </r>
  <r>
    <s v="ORD0706"/>
    <x v="167"/>
    <x v="1"/>
    <x v="1"/>
    <x v="1"/>
    <n v="5"/>
    <n v="705.46"/>
    <n v="175.54"/>
  </r>
  <r>
    <s v="ORD0707"/>
    <x v="50"/>
    <x v="2"/>
    <x v="5"/>
    <x v="3"/>
    <n v="9"/>
    <n v="8821.17"/>
    <n v="1689.11"/>
  </r>
  <r>
    <s v="ORD0708"/>
    <x v="312"/>
    <x v="3"/>
    <x v="10"/>
    <x v="2"/>
    <n v="2"/>
    <n v="1564.85"/>
    <n v="386.18"/>
  </r>
  <r>
    <s v="ORD0709"/>
    <x v="189"/>
    <x v="2"/>
    <x v="10"/>
    <x v="2"/>
    <n v="1"/>
    <n v="224.97"/>
    <n v="76.900000000000006"/>
  </r>
  <r>
    <s v="ORD0710"/>
    <x v="228"/>
    <x v="2"/>
    <x v="3"/>
    <x v="0"/>
    <n v="5"/>
    <n v="968.98"/>
    <n v="192.22"/>
  </r>
  <r>
    <s v="ORD0711"/>
    <x v="108"/>
    <x v="3"/>
    <x v="0"/>
    <x v="0"/>
    <n v="1"/>
    <n v="617.62"/>
    <n v="106.43"/>
  </r>
  <r>
    <s v="ORD0712"/>
    <x v="170"/>
    <x v="0"/>
    <x v="6"/>
    <x v="3"/>
    <n v="1"/>
    <n v="429.79"/>
    <n v="132.27000000000001"/>
  </r>
  <r>
    <s v="ORD0713"/>
    <x v="15"/>
    <x v="3"/>
    <x v="6"/>
    <x v="3"/>
    <n v="2"/>
    <n v="1349.34"/>
    <n v="174.11"/>
  </r>
  <r>
    <s v="ORD0714"/>
    <x v="160"/>
    <x v="0"/>
    <x v="0"/>
    <x v="0"/>
    <n v="4"/>
    <n v="1970.07"/>
    <n v="676.21"/>
  </r>
  <r>
    <s v="ORD0715"/>
    <x v="57"/>
    <x v="3"/>
    <x v="10"/>
    <x v="2"/>
    <n v="2"/>
    <n v="1298.6199999999999"/>
    <n v="448.25"/>
  </r>
  <r>
    <s v="ORD0716"/>
    <x v="104"/>
    <x v="0"/>
    <x v="6"/>
    <x v="3"/>
    <n v="3"/>
    <n v="2320.62"/>
    <n v="212.08"/>
  </r>
  <r>
    <s v="ORD0717"/>
    <x v="313"/>
    <x v="2"/>
    <x v="6"/>
    <x v="3"/>
    <n v="5"/>
    <n v="1392.66"/>
    <n v="445.14"/>
  </r>
  <r>
    <s v="ORD0718"/>
    <x v="44"/>
    <x v="0"/>
    <x v="0"/>
    <x v="0"/>
    <n v="7"/>
    <n v="2962.33"/>
    <n v="370.85"/>
  </r>
  <r>
    <s v="ORD0719"/>
    <x v="84"/>
    <x v="3"/>
    <x v="1"/>
    <x v="1"/>
    <n v="1"/>
    <n v="1164.1600000000001"/>
    <n v="275.77999999999997"/>
  </r>
  <r>
    <s v="ORD0720"/>
    <x v="126"/>
    <x v="1"/>
    <x v="10"/>
    <x v="2"/>
    <n v="2"/>
    <n v="672.06"/>
    <n v="144.47999999999999"/>
  </r>
  <r>
    <s v="ORD0721"/>
    <x v="61"/>
    <x v="2"/>
    <x v="0"/>
    <x v="0"/>
    <n v="6"/>
    <n v="4747.57"/>
    <n v="1278.8"/>
  </r>
  <r>
    <s v="ORD0722"/>
    <x v="184"/>
    <x v="3"/>
    <x v="1"/>
    <x v="1"/>
    <n v="6"/>
    <n v="7073.56"/>
    <n v="2071.9299999999998"/>
  </r>
  <r>
    <s v="ORD0723"/>
    <x v="314"/>
    <x v="3"/>
    <x v="9"/>
    <x v="2"/>
    <n v="7"/>
    <n v="3233.25"/>
    <n v="376.28"/>
  </r>
  <r>
    <s v="ORD0724"/>
    <x v="204"/>
    <x v="2"/>
    <x v="4"/>
    <x v="1"/>
    <n v="5"/>
    <n v="3370.72"/>
    <n v="715.69"/>
  </r>
  <r>
    <s v="ORD0725"/>
    <x v="138"/>
    <x v="2"/>
    <x v="6"/>
    <x v="3"/>
    <n v="8"/>
    <n v="2932.99"/>
    <n v="892.99"/>
  </r>
  <r>
    <s v="ORD0726"/>
    <x v="274"/>
    <x v="1"/>
    <x v="8"/>
    <x v="0"/>
    <n v="3"/>
    <n v="1700.38"/>
    <n v="512.23"/>
  </r>
  <r>
    <s v="ORD0727"/>
    <x v="315"/>
    <x v="1"/>
    <x v="1"/>
    <x v="1"/>
    <n v="9"/>
    <n v="4373.1000000000004"/>
    <n v="568.91999999999996"/>
  </r>
  <r>
    <s v="ORD0728"/>
    <x v="243"/>
    <x v="2"/>
    <x v="10"/>
    <x v="2"/>
    <n v="2"/>
    <n v="1614.07"/>
    <n v="364"/>
  </r>
  <r>
    <s v="ORD0729"/>
    <x v="210"/>
    <x v="1"/>
    <x v="4"/>
    <x v="1"/>
    <n v="3"/>
    <n v="2264.9899999999998"/>
    <n v="378.48"/>
  </r>
  <r>
    <s v="ORD0730"/>
    <x v="261"/>
    <x v="2"/>
    <x v="0"/>
    <x v="0"/>
    <n v="9"/>
    <n v="7269.52"/>
    <n v="667.49"/>
  </r>
  <r>
    <s v="ORD0731"/>
    <x v="282"/>
    <x v="3"/>
    <x v="0"/>
    <x v="0"/>
    <n v="2"/>
    <n v="1216.3499999999999"/>
    <n v="129.74"/>
  </r>
  <r>
    <s v="ORD0732"/>
    <x v="316"/>
    <x v="2"/>
    <x v="4"/>
    <x v="1"/>
    <n v="10"/>
    <n v="8565.11"/>
    <n v="1277.0899999999999"/>
  </r>
  <r>
    <s v="ORD0733"/>
    <x v="229"/>
    <x v="3"/>
    <x v="0"/>
    <x v="0"/>
    <n v="4"/>
    <n v="3216.45"/>
    <n v="1063.58"/>
  </r>
  <r>
    <s v="ORD0734"/>
    <x v="193"/>
    <x v="0"/>
    <x v="3"/>
    <x v="0"/>
    <n v="9"/>
    <n v="8144.99"/>
    <n v="2609.79"/>
  </r>
  <r>
    <s v="ORD0735"/>
    <x v="154"/>
    <x v="2"/>
    <x v="5"/>
    <x v="3"/>
    <n v="1"/>
    <n v="894.45"/>
    <n v="273.08"/>
  </r>
  <r>
    <s v="ORD0736"/>
    <x v="165"/>
    <x v="2"/>
    <x v="0"/>
    <x v="0"/>
    <n v="4"/>
    <n v="2645.64"/>
    <n v="346.99"/>
  </r>
  <r>
    <s v="ORD0737"/>
    <x v="63"/>
    <x v="1"/>
    <x v="2"/>
    <x v="2"/>
    <n v="9"/>
    <n v="4747.16"/>
    <n v="515.01"/>
  </r>
  <r>
    <s v="ORD0738"/>
    <x v="166"/>
    <x v="3"/>
    <x v="4"/>
    <x v="1"/>
    <n v="7"/>
    <n v="7456.73"/>
    <n v="932.38"/>
  </r>
  <r>
    <s v="ORD0739"/>
    <x v="147"/>
    <x v="1"/>
    <x v="5"/>
    <x v="3"/>
    <n v="3"/>
    <n v="1991.96"/>
    <n v="482.01"/>
  </r>
  <r>
    <s v="ORD0740"/>
    <x v="99"/>
    <x v="2"/>
    <x v="6"/>
    <x v="3"/>
    <n v="7"/>
    <n v="6501.68"/>
    <n v="1276.01"/>
  </r>
  <r>
    <s v="ORD0741"/>
    <x v="144"/>
    <x v="3"/>
    <x v="10"/>
    <x v="2"/>
    <n v="9"/>
    <n v="10035.620000000001"/>
    <n v="1491.33"/>
  </r>
  <r>
    <s v="ORD0742"/>
    <x v="101"/>
    <x v="2"/>
    <x v="1"/>
    <x v="1"/>
    <n v="1"/>
    <n v="1180.4000000000001"/>
    <n v="284.31"/>
  </r>
  <r>
    <s v="ORD0743"/>
    <x v="176"/>
    <x v="0"/>
    <x v="7"/>
    <x v="3"/>
    <n v="5"/>
    <n v="5910.27"/>
    <n v="815.63"/>
  </r>
  <r>
    <s v="ORD0744"/>
    <x v="42"/>
    <x v="0"/>
    <x v="5"/>
    <x v="3"/>
    <n v="9"/>
    <n v="6207.94"/>
    <n v="2048.61"/>
  </r>
  <r>
    <s v="ORD0745"/>
    <x v="195"/>
    <x v="2"/>
    <x v="3"/>
    <x v="0"/>
    <n v="6"/>
    <n v="1377.14"/>
    <n v="208.7"/>
  </r>
  <r>
    <s v="ORD0746"/>
    <x v="215"/>
    <x v="0"/>
    <x v="10"/>
    <x v="2"/>
    <n v="5"/>
    <n v="778.45"/>
    <n v="146.31"/>
  </r>
  <r>
    <s v="ORD0747"/>
    <x v="317"/>
    <x v="0"/>
    <x v="6"/>
    <x v="3"/>
    <n v="3"/>
    <n v="1834.55"/>
    <n v="592.08000000000004"/>
  </r>
  <r>
    <s v="ORD0748"/>
    <x v="161"/>
    <x v="1"/>
    <x v="7"/>
    <x v="3"/>
    <n v="10"/>
    <n v="4887.78"/>
    <n v="1420.55"/>
  </r>
  <r>
    <s v="ORD0749"/>
    <x v="29"/>
    <x v="0"/>
    <x v="11"/>
    <x v="1"/>
    <n v="2"/>
    <n v="2100.5100000000002"/>
    <n v="296.62"/>
  </r>
  <r>
    <s v="ORD0750"/>
    <x v="227"/>
    <x v="2"/>
    <x v="1"/>
    <x v="1"/>
    <n v="5"/>
    <n v="3265.2"/>
    <n v="542.73"/>
  </r>
  <r>
    <s v="ORD0751"/>
    <x v="212"/>
    <x v="3"/>
    <x v="5"/>
    <x v="3"/>
    <n v="4"/>
    <n v="904.71"/>
    <n v="236.93"/>
  </r>
  <r>
    <s v="ORD0752"/>
    <x v="209"/>
    <x v="1"/>
    <x v="0"/>
    <x v="0"/>
    <n v="7"/>
    <n v="2682.75"/>
    <n v="500.24"/>
  </r>
  <r>
    <s v="ORD0753"/>
    <x v="17"/>
    <x v="0"/>
    <x v="3"/>
    <x v="0"/>
    <n v="10"/>
    <n v="9071.1200000000008"/>
    <n v="2068.23"/>
  </r>
  <r>
    <s v="ORD0754"/>
    <x v="318"/>
    <x v="3"/>
    <x v="4"/>
    <x v="1"/>
    <n v="7"/>
    <n v="6579.29"/>
    <n v="757.94"/>
  </r>
  <r>
    <s v="ORD0755"/>
    <x v="234"/>
    <x v="2"/>
    <x v="10"/>
    <x v="2"/>
    <n v="7"/>
    <n v="5600.6"/>
    <n v="744.58"/>
  </r>
  <r>
    <s v="ORD0756"/>
    <x v="100"/>
    <x v="0"/>
    <x v="9"/>
    <x v="2"/>
    <n v="5"/>
    <n v="4716.4399999999996"/>
    <n v="789.16"/>
  </r>
  <r>
    <s v="ORD0757"/>
    <x v="319"/>
    <x v="1"/>
    <x v="8"/>
    <x v="0"/>
    <n v="7"/>
    <n v="3759.5"/>
    <n v="654.32000000000005"/>
  </r>
  <r>
    <s v="ORD0758"/>
    <x v="45"/>
    <x v="2"/>
    <x v="3"/>
    <x v="0"/>
    <n v="3"/>
    <n v="3557.4"/>
    <n v="876.47"/>
  </r>
  <r>
    <s v="ORD0759"/>
    <x v="91"/>
    <x v="0"/>
    <x v="1"/>
    <x v="1"/>
    <n v="4"/>
    <n v="1118.55"/>
    <n v="202.38"/>
  </r>
  <r>
    <s v="ORD0760"/>
    <x v="97"/>
    <x v="0"/>
    <x v="0"/>
    <x v="0"/>
    <n v="10"/>
    <n v="11157.39"/>
    <n v="3509.7"/>
  </r>
  <r>
    <s v="ORD0761"/>
    <x v="117"/>
    <x v="2"/>
    <x v="5"/>
    <x v="3"/>
    <n v="2"/>
    <n v="801.77"/>
    <n v="166.14"/>
  </r>
  <r>
    <s v="ORD0762"/>
    <x v="110"/>
    <x v="2"/>
    <x v="9"/>
    <x v="2"/>
    <n v="9"/>
    <n v="5865.8"/>
    <n v="878.92"/>
  </r>
  <r>
    <s v="ORD0763"/>
    <x v="218"/>
    <x v="2"/>
    <x v="3"/>
    <x v="0"/>
    <n v="10"/>
    <n v="10919.46"/>
    <n v="2426.69"/>
  </r>
  <r>
    <s v="ORD0764"/>
    <x v="272"/>
    <x v="3"/>
    <x v="3"/>
    <x v="0"/>
    <n v="4"/>
    <n v="3830.27"/>
    <n v="945.5"/>
  </r>
  <r>
    <s v="ORD0765"/>
    <x v="113"/>
    <x v="1"/>
    <x v="0"/>
    <x v="0"/>
    <n v="7"/>
    <n v="5666"/>
    <n v="1467.52"/>
  </r>
  <r>
    <s v="ORD0766"/>
    <x v="320"/>
    <x v="3"/>
    <x v="0"/>
    <x v="0"/>
    <n v="5"/>
    <n v="5237.6099999999997"/>
    <n v="1337.38"/>
  </r>
  <r>
    <s v="ORD0767"/>
    <x v="179"/>
    <x v="2"/>
    <x v="3"/>
    <x v="0"/>
    <n v="8"/>
    <n v="8374.31"/>
    <n v="1871.84"/>
  </r>
  <r>
    <s v="ORD0768"/>
    <x v="93"/>
    <x v="1"/>
    <x v="4"/>
    <x v="1"/>
    <n v="1"/>
    <n v="95.72"/>
    <n v="31.49"/>
  </r>
  <r>
    <s v="ORD0769"/>
    <x v="47"/>
    <x v="1"/>
    <x v="11"/>
    <x v="1"/>
    <n v="3"/>
    <n v="213.38"/>
    <n v="56.5"/>
  </r>
  <r>
    <s v="ORD0770"/>
    <x v="243"/>
    <x v="0"/>
    <x v="2"/>
    <x v="2"/>
    <n v="5"/>
    <n v="4918.38"/>
    <n v="1224.5"/>
  </r>
  <r>
    <s v="ORD0771"/>
    <x v="13"/>
    <x v="0"/>
    <x v="7"/>
    <x v="3"/>
    <n v="3"/>
    <n v="1329.16"/>
    <n v="247.31"/>
  </r>
  <r>
    <s v="ORD0772"/>
    <x v="223"/>
    <x v="2"/>
    <x v="4"/>
    <x v="1"/>
    <n v="10"/>
    <n v="10536.07"/>
    <n v="2795.87"/>
  </r>
  <r>
    <s v="ORD0773"/>
    <x v="274"/>
    <x v="2"/>
    <x v="10"/>
    <x v="2"/>
    <n v="5"/>
    <n v="5480.98"/>
    <n v="925.78"/>
  </r>
  <r>
    <s v="ORD0774"/>
    <x v="277"/>
    <x v="2"/>
    <x v="2"/>
    <x v="2"/>
    <n v="3"/>
    <n v="2154.56"/>
    <n v="570.29999999999995"/>
  </r>
  <r>
    <s v="ORD0775"/>
    <x v="170"/>
    <x v="2"/>
    <x v="5"/>
    <x v="3"/>
    <n v="9"/>
    <n v="9863.9699999999993"/>
    <n v="1934.5"/>
  </r>
  <r>
    <s v="ORD0776"/>
    <x v="321"/>
    <x v="1"/>
    <x v="7"/>
    <x v="3"/>
    <n v="9"/>
    <n v="5966.15"/>
    <n v="1636.21"/>
  </r>
  <r>
    <s v="ORD0777"/>
    <x v="48"/>
    <x v="3"/>
    <x v="2"/>
    <x v="2"/>
    <n v="1"/>
    <n v="930.25"/>
    <n v="295.48"/>
  </r>
  <r>
    <s v="ORD0778"/>
    <x v="209"/>
    <x v="2"/>
    <x v="6"/>
    <x v="3"/>
    <n v="5"/>
    <n v="1123.75"/>
    <n v="146.91999999999999"/>
  </r>
  <r>
    <s v="ORD0779"/>
    <x v="320"/>
    <x v="2"/>
    <x v="8"/>
    <x v="0"/>
    <n v="10"/>
    <n v="3568.92"/>
    <n v="831.92"/>
  </r>
  <r>
    <s v="ORD0780"/>
    <x v="198"/>
    <x v="2"/>
    <x v="2"/>
    <x v="2"/>
    <n v="1"/>
    <n v="463.15"/>
    <n v="123.1"/>
  </r>
  <r>
    <s v="ORD0781"/>
    <x v="57"/>
    <x v="2"/>
    <x v="4"/>
    <x v="1"/>
    <n v="6"/>
    <n v="1569.44"/>
    <n v="289.74"/>
  </r>
  <r>
    <s v="ORD0782"/>
    <x v="219"/>
    <x v="1"/>
    <x v="9"/>
    <x v="2"/>
    <n v="4"/>
    <n v="348.26"/>
    <n v="99.75"/>
  </r>
  <r>
    <s v="ORD0783"/>
    <x v="107"/>
    <x v="3"/>
    <x v="1"/>
    <x v="1"/>
    <n v="4"/>
    <n v="3685.77"/>
    <n v="360.68"/>
  </r>
  <r>
    <s v="ORD0784"/>
    <x v="322"/>
    <x v="3"/>
    <x v="6"/>
    <x v="3"/>
    <n v="4"/>
    <n v="2166.7600000000002"/>
    <n v="627.45000000000005"/>
  </r>
  <r>
    <s v="ORD0785"/>
    <x v="51"/>
    <x v="0"/>
    <x v="6"/>
    <x v="3"/>
    <n v="10"/>
    <n v="11300.1"/>
    <n v="2649"/>
  </r>
  <r>
    <s v="ORD0786"/>
    <x v="224"/>
    <x v="3"/>
    <x v="3"/>
    <x v="0"/>
    <n v="8"/>
    <n v="8008.49"/>
    <n v="732.39"/>
  </r>
  <r>
    <s v="ORD0787"/>
    <x v="200"/>
    <x v="2"/>
    <x v="8"/>
    <x v="0"/>
    <n v="7"/>
    <n v="4504.82"/>
    <n v="1127.44"/>
  </r>
  <r>
    <s v="ORD0788"/>
    <x v="64"/>
    <x v="3"/>
    <x v="6"/>
    <x v="3"/>
    <n v="7"/>
    <n v="7469.4"/>
    <n v="2157.86"/>
  </r>
  <r>
    <s v="ORD0789"/>
    <x v="167"/>
    <x v="2"/>
    <x v="10"/>
    <x v="2"/>
    <n v="5"/>
    <n v="3775.52"/>
    <n v="357.65"/>
  </r>
  <r>
    <s v="ORD0790"/>
    <x v="166"/>
    <x v="2"/>
    <x v="4"/>
    <x v="1"/>
    <n v="8"/>
    <n v="1232.06"/>
    <n v="265.11"/>
  </r>
  <r>
    <s v="ORD0791"/>
    <x v="323"/>
    <x v="2"/>
    <x v="11"/>
    <x v="1"/>
    <n v="6"/>
    <n v="3411.11"/>
    <n v="437.64"/>
  </r>
  <r>
    <s v="ORD0792"/>
    <x v="231"/>
    <x v="2"/>
    <x v="1"/>
    <x v="1"/>
    <n v="5"/>
    <n v="2113.4299999999998"/>
    <n v="539.16999999999996"/>
  </r>
  <r>
    <s v="ORD0793"/>
    <x v="91"/>
    <x v="3"/>
    <x v="0"/>
    <x v="0"/>
    <n v="2"/>
    <n v="1724.32"/>
    <n v="433.15"/>
  </r>
  <r>
    <s v="ORD0794"/>
    <x v="161"/>
    <x v="2"/>
    <x v="10"/>
    <x v="2"/>
    <n v="9"/>
    <n v="4389.28"/>
    <n v="1261.6099999999999"/>
  </r>
  <r>
    <s v="ORD0795"/>
    <x v="20"/>
    <x v="1"/>
    <x v="9"/>
    <x v="2"/>
    <n v="3"/>
    <n v="2803.59"/>
    <n v="263.13"/>
  </r>
  <r>
    <s v="ORD0796"/>
    <x v="277"/>
    <x v="0"/>
    <x v="11"/>
    <x v="1"/>
    <n v="3"/>
    <n v="555.55999999999995"/>
    <n v="64.180000000000007"/>
  </r>
  <r>
    <s v="ORD0797"/>
    <x v="324"/>
    <x v="3"/>
    <x v="7"/>
    <x v="3"/>
    <n v="8"/>
    <n v="4978.17"/>
    <n v="1068.48"/>
  </r>
  <r>
    <s v="ORD0798"/>
    <x v="45"/>
    <x v="0"/>
    <x v="9"/>
    <x v="2"/>
    <n v="10"/>
    <n v="8083.91"/>
    <n v="1637.07"/>
  </r>
  <r>
    <s v="ORD0799"/>
    <x v="325"/>
    <x v="0"/>
    <x v="0"/>
    <x v="0"/>
    <n v="9"/>
    <n v="3328.47"/>
    <n v="831.22"/>
  </r>
  <r>
    <s v="ORD0800"/>
    <x v="178"/>
    <x v="1"/>
    <x v="9"/>
    <x v="2"/>
    <n v="1"/>
    <n v="801.27"/>
    <n v="72.05"/>
  </r>
  <r>
    <s v="ORD0801"/>
    <x v="103"/>
    <x v="1"/>
    <x v="7"/>
    <x v="3"/>
    <n v="1"/>
    <n v="175.22"/>
    <n v="61.03"/>
  </r>
  <r>
    <s v="ORD0802"/>
    <x v="41"/>
    <x v="1"/>
    <x v="10"/>
    <x v="2"/>
    <n v="10"/>
    <n v="4642.17"/>
    <n v="416.3"/>
  </r>
  <r>
    <s v="ORD0803"/>
    <x v="326"/>
    <x v="1"/>
    <x v="6"/>
    <x v="3"/>
    <n v="2"/>
    <n v="1844.42"/>
    <n v="567.52"/>
  </r>
  <r>
    <s v="ORD0804"/>
    <x v="165"/>
    <x v="3"/>
    <x v="1"/>
    <x v="1"/>
    <n v="2"/>
    <n v="1697.62"/>
    <n v="261.58999999999997"/>
  </r>
  <r>
    <s v="ORD0805"/>
    <x v="262"/>
    <x v="0"/>
    <x v="2"/>
    <x v="2"/>
    <n v="4"/>
    <n v="3015.45"/>
    <n v="330.23"/>
  </r>
  <r>
    <s v="ORD0806"/>
    <x v="97"/>
    <x v="3"/>
    <x v="4"/>
    <x v="1"/>
    <n v="10"/>
    <n v="11239.75"/>
    <n v="3892.27"/>
  </r>
  <r>
    <s v="ORD0807"/>
    <x v="261"/>
    <x v="3"/>
    <x v="6"/>
    <x v="3"/>
    <n v="9"/>
    <n v="6402.73"/>
    <n v="1589.64"/>
  </r>
  <r>
    <s v="ORD0808"/>
    <x v="299"/>
    <x v="2"/>
    <x v="11"/>
    <x v="1"/>
    <n v="3"/>
    <n v="3198.64"/>
    <n v="456.88"/>
  </r>
  <r>
    <s v="ORD0809"/>
    <x v="325"/>
    <x v="3"/>
    <x v="0"/>
    <x v="0"/>
    <n v="1"/>
    <n v="584.62"/>
    <n v="172.53"/>
  </r>
  <r>
    <s v="ORD0810"/>
    <x v="276"/>
    <x v="0"/>
    <x v="1"/>
    <x v="1"/>
    <n v="6"/>
    <n v="2712.59"/>
    <n v="807.35"/>
  </r>
  <r>
    <s v="ORD0811"/>
    <x v="41"/>
    <x v="1"/>
    <x v="2"/>
    <x v="2"/>
    <n v="5"/>
    <n v="1712.9"/>
    <n v="168.41"/>
  </r>
  <r>
    <s v="ORD0812"/>
    <x v="234"/>
    <x v="0"/>
    <x v="0"/>
    <x v="0"/>
    <n v="6"/>
    <n v="2655.39"/>
    <n v="731.79"/>
  </r>
  <r>
    <s v="ORD0813"/>
    <x v="182"/>
    <x v="3"/>
    <x v="9"/>
    <x v="2"/>
    <n v="6"/>
    <n v="6053.39"/>
    <n v="1991.66"/>
  </r>
  <r>
    <s v="ORD0814"/>
    <x v="51"/>
    <x v="1"/>
    <x v="8"/>
    <x v="0"/>
    <n v="3"/>
    <n v="1811.16"/>
    <n v="451.6"/>
  </r>
  <r>
    <s v="ORD0815"/>
    <x v="327"/>
    <x v="1"/>
    <x v="11"/>
    <x v="1"/>
    <n v="1"/>
    <n v="1010.37"/>
    <n v="162.49"/>
  </r>
  <r>
    <s v="ORD0816"/>
    <x v="47"/>
    <x v="0"/>
    <x v="0"/>
    <x v="0"/>
    <n v="10"/>
    <n v="8383.17"/>
    <n v="2480.37"/>
  </r>
  <r>
    <s v="ORD0817"/>
    <x v="328"/>
    <x v="2"/>
    <x v="10"/>
    <x v="2"/>
    <n v="1"/>
    <n v="440.03"/>
    <n v="79.78"/>
  </r>
  <r>
    <s v="ORD0818"/>
    <x v="20"/>
    <x v="1"/>
    <x v="1"/>
    <x v="1"/>
    <n v="10"/>
    <n v="1843.71"/>
    <n v="536.95000000000005"/>
  </r>
  <r>
    <s v="ORD0819"/>
    <x v="145"/>
    <x v="3"/>
    <x v="3"/>
    <x v="0"/>
    <n v="7"/>
    <n v="1048.72"/>
    <n v="332.24"/>
  </r>
  <r>
    <s v="ORD0820"/>
    <x v="305"/>
    <x v="2"/>
    <x v="7"/>
    <x v="3"/>
    <n v="9"/>
    <n v="3578.99"/>
    <n v="394.77"/>
  </r>
  <r>
    <s v="ORD0821"/>
    <x v="98"/>
    <x v="2"/>
    <x v="3"/>
    <x v="0"/>
    <n v="9"/>
    <n v="708.07"/>
    <n v="148.91999999999999"/>
  </r>
  <r>
    <s v="ORD0822"/>
    <x v="54"/>
    <x v="2"/>
    <x v="10"/>
    <x v="2"/>
    <n v="8"/>
    <n v="7138.46"/>
    <n v="1580.31"/>
  </r>
  <r>
    <s v="ORD0823"/>
    <x v="243"/>
    <x v="0"/>
    <x v="8"/>
    <x v="0"/>
    <n v="3"/>
    <n v="857.9"/>
    <n v="77.099999999999994"/>
  </r>
  <r>
    <s v="ORD0824"/>
    <x v="82"/>
    <x v="1"/>
    <x v="3"/>
    <x v="0"/>
    <n v="1"/>
    <n v="840.11"/>
    <n v="202.01"/>
  </r>
  <r>
    <s v="ORD0825"/>
    <x v="108"/>
    <x v="0"/>
    <x v="1"/>
    <x v="1"/>
    <n v="2"/>
    <n v="1297.33"/>
    <n v="334.61"/>
  </r>
  <r>
    <s v="ORD0826"/>
    <x v="44"/>
    <x v="1"/>
    <x v="5"/>
    <x v="3"/>
    <n v="4"/>
    <n v="1676.05"/>
    <n v="221.22"/>
  </r>
  <r>
    <s v="ORD0827"/>
    <x v="75"/>
    <x v="0"/>
    <x v="4"/>
    <x v="1"/>
    <n v="2"/>
    <n v="727.1"/>
    <n v="89.09"/>
  </r>
  <r>
    <s v="ORD0828"/>
    <x v="149"/>
    <x v="1"/>
    <x v="0"/>
    <x v="0"/>
    <n v="9"/>
    <n v="4075.79"/>
    <n v="676.54"/>
  </r>
  <r>
    <s v="ORD0829"/>
    <x v="128"/>
    <x v="3"/>
    <x v="9"/>
    <x v="2"/>
    <n v="2"/>
    <n v="816.17"/>
    <n v="261.91000000000003"/>
  </r>
  <r>
    <s v="ORD0830"/>
    <x v="61"/>
    <x v="3"/>
    <x v="0"/>
    <x v="0"/>
    <n v="1"/>
    <n v="591.35"/>
    <n v="155.16"/>
  </r>
  <r>
    <s v="ORD0831"/>
    <x v="329"/>
    <x v="3"/>
    <x v="0"/>
    <x v="0"/>
    <n v="7"/>
    <n v="3504.93"/>
    <n v="947.25"/>
  </r>
  <r>
    <s v="ORD0832"/>
    <x v="23"/>
    <x v="0"/>
    <x v="6"/>
    <x v="3"/>
    <n v="6"/>
    <n v="5940.35"/>
    <n v="1618.64"/>
  </r>
  <r>
    <s v="ORD0833"/>
    <x v="264"/>
    <x v="3"/>
    <x v="4"/>
    <x v="1"/>
    <n v="3"/>
    <n v="470.56"/>
    <n v="139.58000000000001"/>
  </r>
  <r>
    <s v="ORD0834"/>
    <x v="188"/>
    <x v="3"/>
    <x v="3"/>
    <x v="0"/>
    <n v="5"/>
    <n v="4185.75"/>
    <n v="1137.51"/>
  </r>
  <r>
    <s v="ORD0835"/>
    <x v="7"/>
    <x v="3"/>
    <x v="9"/>
    <x v="2"/>
    <n v="3"/>
    <n v="3120.78"/>
    <n v="769.5"/>
  </r>
  <r>
    <s v="ORD0836"/>
    <x v="33"/>
    <x v="3"/>
    <x v="2"/>
    <x v="2"/>
    <n v="6"/>
    <n v="5742.57"/>
    <n v="1827.57"/>
  </r>
  <r>
    <s v="ORD0837"/>
    <x v="185"/>
    <x v="1"/>
    <x v="0"/>
    <x v="0"/>
    <n v="8"/>
    <n v="1438.56"/>
    <n v="301"/>
  </r>
  <r>
    <s v="ORD0838"/>
    <x v="61"/>
    <x v="1"/>
    <x v="5"/>
    <x v="3"/>
    <n v="10"/>
    <n v="1965.03"/>
    <n v="211.81"/>
  </r>
  <r>
    <s v="ORD0839"/>
    <x v="94"/>
    <x v="2"/>
    <x v="3"/>
    <x v="0"/>
    <n v="9"/>
    <n v="5221.09"/>
    <n v="1250.1600000000001"/>
  </r>
  <r>
    <s v="ORD0840"/>
    <x v="288"/>
    <x v="3"/>
    <x v="10"/>
    <x v="2"/>
    <n v="7"/>
    <n v="881.78"/>
    <n v="120.12"/>
  </r>
  <r>
    <s v="ORD0841"/>
    <x v="311"/>
    <x v="0"/>
    <x v="4"/>
    <x v="1"/>
    <n v="6"/>
    <n v="4057.24"/>
    <n v="583.28"/>
  </r>
  <r>
    <s v="ORD0842"/>
    <x v="133"/>
    <x v="3"/>
    <x v="1"/>
    <x v="1"/>
    <n v="10"/>
    <n v="7354.87"/>
    <n v="1234.53"/>
  </r>
  <r>
    <s v="ORD0843"/>
    <x v="139"/>
    <x v="3"/>
    <x v="10"/>
    <x v="2"/>
    <n v="7"/>
    <n v="910.34"/>
    <n v="99.56"/>
  </r>
  <r>
    <s v="ORD0844"/>
    <x v="246"/>
    <x v="0"/>
    <x v="6"/>
    <x v="3"/>
    <n v="1"/>
    <n v="154.11000000000001"/>
    <n v="46.33"/>
  </r>
  <r>
    <s v="ORD0845"/>
    <x v="234"/>
    <x v="3"/>
    <x v="2"/>
    <x v="2"/>
    <n v="3"/>
    <n v="1712.76"/>
    <n v="271.83"/>
  </r>
  <r>
    <s v="ORD0846"/>
    <x v="327"/>
    <x v="1"/>
    <x v="9"/>
    <x v="2"/>
    <n v="6"/>
    <n v="2368.17"/>
    <n v="697.36"/>
  </r>
  <r>
    <s v="ORD0847"/>
    <x v="269"/>
    <x v="3"/>
    <x v="4"/>
    <x v="1"/>
    <n v="6"/>
    <n v="7133"/>
    <n v="1692.92"/>
  </r>
  <r>
    <s v="ORD0848"/>
    <x v="272"/>
    <x v="0"/>
    <x v="10"/>
    <x v="2"/>
    <n v="1"/>
    <n v="474.61"/>
    <n v="108.31"/>
  </r>
  <r>
    <s v="ORD0849"/>
    <x v="317"/>
    <x v="3"/>
    <x v="7"/>
    <x v="3"/>
    <n v="5"/>
    <n v="5227.66"/>
    <n v="750.25"/>
  </r>
  <r>
    <s v="ORD0850"/>
    <x v="276"/>
    <x v="2"/>
    <x v="5"/>
    <x v="3"/>
    <n v="7"/>
    <n v="3618.56"/>
    <n v="714.67"/>
  </r>
  <r>
    <s v="ORD0851"/>
    <x v="300"/>
    <x v="3"/>
    <x v="1"/>
    <x v="1"/>
    <n v="4"/>
    <n v="2754.94"/>
    <n v="847.69"/>
  </r>
  <r>
    <s v="ORD0852"/>
    <x v="214"/>
    <x v="2"/>
    <x v="10"/>
    <x v="2"/>
    <n v="3"/>
    <n v="613.26"/>
    <n v="60.94"/>
  </r>
  <r>
    <s v="ORD0853"/>
    <x v="13"/>
    <x v="3"/>
    <x v="4"/>
    <x v="1"/>
    <n v="7"/>
    <n v="8198.5499999999993"/>
    <n v="956.44"/>
  </r>
  <r>
    <s v="ORD0854"/>
    <x v="33"/>
    <x v="3"/>
    <x v="4"/>
    <x v="1"/>
    <n v="10"/>
    <n v="11198.58"/>
    <n v="2780.35"/>
  </r>
  <r>
    <s v="ORD0855"/>
    <x v="302"/>
    <x v="3"/>
    <x v="11"/>
    <x v="1"/>
    <n v="6"/>
    <n v="1857.61"/>
    <n v="361.66"/>
  </r>
  <r>
    <s v="ORD0856"/>
    <x v="27"/>
    <x v="1"/>
    <x v="2"/>
    <x v="2"/>
    <n v="9"/>
    <n v="3236.74"/>
    <n v="1068.68"/>
  </r>
  <r>
    <s v="ORD0857"/>
    <x v="246"/>
    <x v="3"/>
    <x v="0"/>
    <x v="0"/>
    <n v="10"/>
    <n v="6057.58"/>
    <n v="1087.43"/>
  </r>
  <r>
    <s v="ORD0858"/>
    <x v="135"/>
    <x v="3"/>
    <x v="0"/>
    <x v="0"/>
    <n v="9"/>
    <n v="10630.04"/>
    <n v="3673.64"/>
  </r>
  <r>
    <s v="ORD0859"/>
    <x v="311"/>
    <x v="0"/>
    <x v="8"/>
    <x v="0"/>
    <n v="10"/>
    <n v="1517.13"/>
    <n v="314.89999999999998"/>
  </r>
  <r>
    <s v="ORD0860"/>
    <x v="207"/>
    <x v="3"/>
    <x v="5"/>
    <x v="3"/>
    <n v="1"/>
    <n v="1089.1199999999999"/>
    <n v="244.46"/>
  </r>
  <r>
    <s v="ORD0861"/>
    <x v="147"/>
    <x v="1"/>
    <x v="4"/>
    <x v="1"/>
    <n v="8"/>
    <n v="5680.48"/>
    <n v="962.89"/>
  </r>
  <r>
    <s v="ORD0862"/>
    <x v="278"/>
    <x v="1"/>
    <x v="7"/>
    <x v="3"/>
    <n v="1"/>
    <n v="849.31"/>
    <n v="204.99"/>
  </r>
  <r>
    <s v="ORD0863"/>
    <x v="162"/>
    <x v="1"/>
    <x v="8"/>
    <x v="0"/>
    <n v="8"/>
    <n v="5718.9"/>
    <n v="1342.07"/>
  </r>
  <r>
    <s v="ORD0864"/>
    <x v="2"/>
    <x v="1"/>
    <x v="3"/>
    <x v="0"/>
    <n v="8"/>
    <n v="1159.0899999999999"/>
    <n v="250.96"/>
  </r>
  <r>
    <s v="ORD0865"/>
    <x v="330"/>
    <x v="2"/>
    <x v="2"/>
    <x v="2"/>
    <n v="5"/>
    <n v="1832.5"/>
    <n v="273.74"/>
  </r>
  <r>
    <s v="ORD0866"/>
    <x v="74"/>
    <x v="2"/>
    <x v="2"/>
    <x v="2"/>
    <n v="8"/>
    <n v="3801.85"/>
    <n v="484.2"/>
  </r>
  <r>
    <s v="ORD0867"/>
    <x v="91"/>
    <x v="2"/>
    <x v="1"/>
    <x v="1"/>
    <n v="9"/>
    <n v="9371.85"/>
    <n v="1617.29"/>
  </r>
  <r>
    <s v="ORD0868"/>
    <x v="251"/>
    <x v="2"/>
    <x v="10"/>
    <x v="2"/>
    <n v="7"/>
    <n v="6551.46"/>
    <n v="945.02"/>
  </r>
  <r>
    <s v="ORD0869"/>
    <x v="294"/>
    <x v="0"/>
    <x v="2"/>
    <x v="2"/>
    <n v="6"/>
    <n v="674.85"/>
    <n v="102.16"/>
  </r>
  <r>
    <s v="ORD0870"/>
    <x v="331"/>
    <x v="2"/>
    <x v="10"/>
    <x v="2"/>
    <n v="7"/>
    <n v="4183.67"/>
    <n v="872.68"/>
  </r>
  <r>
    <s v="ORD0871"/>
    <x v="120"/>
    <x v="0"/>
    <x v="4"/>
    <x v="1"/>
    <n v="7"/>
    <n v="4170.45"/>
    <n v="497.08"/>
  </r>
  <r>
    <s v="ORD0872"/>
    <x v="8"/>
    <x v="0"/>
    <x v="6"/>
    <x v="3"/>
    <n v="7"/>
    <n v="5811.87"/>
    <n v="1974.15"/>
  </r>
  <r>
    <s v="ORD0873"/>
    <x v="236"/>
    <x v="1"/>
    <x v="8"/>
    <x v="0"/>
    <n v="6"/>
    <n v="6897.67"/>
    <n v="1355.96"/>
  </r>
  <r>
    <s v="ORD0874"/>
    <x v="67"/>
    <x v="3"/>
    <x v="6"/>
    <x v="3"/>
    <n v="5"/>
    <n v="4863.32"/>
    <n v="724.36"/>
  </r>
  <r>
    <s v="ORD0875"/>
    <x v="191"/>
    <x v="1"/>
    <x v="4"/>
    <x v="1"/>
    <n v="4"/>
    <n v="3577.84"/>
    <n v="854.94"/>
  </r>
  <r>
    <s v="ORD0876"/>
    <x v="332"/>
    <x v="0"/>
    <x v="10"/>
    <x v="2"/>
    <n v="9"/>
    <n v="559.48"/>
    <n v="46.04"/>
  </r>
  <r>
    <s v="ORD0877"/>
    <x v="333"/>
    <x v="1"/>
    <x v="1"/>
    <x v="1"/>
    <n v="9"/>
    <n v="1525.44"/>
    <n v="305.7"/>
  </r>
  <r>
    <s v="ORD0878"/>
    <x v="287"/>
    <x v="2"/>
    <x v="7"/>
    <x v="3"/>
    <n v="1"/>
    <n v="77.260000000000005"/>
    <n v="8.1"/>
  </r>
  <r>
    <s v="ORD0879"/>
    <x v="211"/>
    <x v="2"/>
    <x v="8"/>
    <x v="0"/>
    <n v="2"/>
    <n v="298.69"/>
    <n v="72.66"/>
  </r>
  <r>
    <s v="ORD0880"/>
    <x v="31"/>
    <x v="3"/>
    <x v="8"/>
    <x v="0"/>
    <n v="3"/>
    <n v="1024.01"/>
    <n v="211.03"/>
  </r>
  <r>
    <s v="ORD0881"/>
    <x v="44"/>
    <x v="0"/>
    <x v="6"/>
    <x v="3"/>
    <n v="6"/>
    <n v="2075.62"/>
    <n v="603.59"/>
  </r>
  <r>
    <s v="ORD0882"/>
    <x v="4"/>
    <x v="2"/>
    <x v="11"/>
    <x v="1"/>
    <n v="6"/>
    <n v="7172.11"/>
    <n v="1073.8399999999999"/>
  </r>
  <r>
    <s v="ORD0883"/>
    <x v="212"/>
    <x v="2"/>
    <x v="1"/>
    <x v="1"/>
    <n v="8"/>
    <n v="9410.68"/>
    <n v="1262.73"/>
  </r>
  <r>
    <s v="ORD0884"/>
    <x v="265"/>
    <x v="0"/>
    <x v="1"/>
    <x v="1"/>
    <n v="3"/>
    <n v="2015.18"/>
    <n v="395.86"/>
  </r>
  <r>
    <s v="ORD0885"/>
    <x v="282"/>
    <x v="1"/>
    <x v="4"/>
    <x v="1"/>
    <n v="5"/>
    <n v="843.9"/>
    <n v="84.13"/>
  </r>
  <r>
    <s v="ORD0886"/>
    <x v="305"/>
    <x v="3"/>
    <x v="1"/>
    <x v="1"/>
    <n v="8"/>
    <n v="1769.46"/>
    <n v="447.48"/>
  </r>
  <r>
    <s v="ORD0887"/>
    <x v="295"/>
    <x v="3"/>
    <x v="7"/>
    <x v="3"/>
    <n v="6"/>
    <n v="6541.86"/>
    <n v="1538.34"/>
  </r>
  <r>
    <s v="ORD0888"/>
    <x v="50"/>
    <x v="2"/>
    <x v="11"/>
    <x v="1"/>
    <n v="7"/>
    <n v="7144.6"/>
    <n v="2078.0300000000002"/>
  </r>
  <r>
    <s v="ORD0889"/>
    <x v="286"/>
    <x v="1"/>
    <x v="3"/>
    <x v="0"/>
    <n v="8"/>
    <n v="1515.07"/>
    <n v="340.18"/>
  </r>
  <r>
    <s v="ORD0890"/>
    <x v="102"/>
    <x v="1"/>
    <x v="6"/>
    <x v="3"/>
    <n v="1"/>
    <n v="777.11"/>
    <n v="263.35000000000002"/>
  </r>
  <r>
    <s v="ORD0891"/>
    <x v="277"/>
    <x v="2"/>
    <x v="7"/>
    <x v="3"/>
    <n v="8"/>
    <n v="7396.17"/>
    <n v="1170.73"/>
  </r>
  <r>
    <s v="ORD0892"/>
    <x v="61"/>
    <x v="1"/>
    <x v="3"/>
    <x v="0"/>
    <n v="4"/>
    <n v="1574.8"/>
    <n v="291.85000000000002"/>
  </r>
  <r>
    <s v="ORD0893"/>
    <x v="30"/>
    <x v="0"/>
    <x v="1"/>
    <x v="1"/>
    <n v="8"/>
    <n v="7164.98"/>
    <n v="843.92"/>
  </r>
  <r>
    <s v="ORD0894"/>
    <x v="20"/>
    <x v="3"/>
    <x v="10"/>
    <x v="2"/>
    <n v="7"/>
    <n v="857.09"/>
    <n v="193.66"/>
  </r>
  <r>
    <s v="ORD0895"/>
    <x v="158"/>
    <x v="3"/>
    <x v="1"/>
    <x v="1"/>
    <n v="1"/>
    <n v="440.18"/>
    <n v="75.349999999999994"/>
  </r>
  <r>
    <s v="ORD0896"/>
    <x v="51"/>
    <x v="2"/>
    <x v="0"/>
    <x v="0"/>
    <n v="9"/>
    <n v="5194.13"/>
    <n v="1366.48"/>
  </r>
  <r>
    <s v="ORD0897"/>
    <x v="315"/>
    <x v="3"/>
    <x v="9"/>
    <x v="2"/>
    <n v="1"/>
    <n v="895.78"/>
    <n v="189.91"/>
  </r>
  <r>
    <s v="ORD0898"/>
    <x v="20"/>
    <x v="0"/>
    <x v="0"/>
    <x v="0"/>
    <n v="3"/>
    <n v="199.56"/>
    <n v="50.05"/>
  </r>
  <r>
    <s v="ORD0899"/>
    <x v="61"/>
    <x v="0"/>
    <x v="4"/>
    <x v="1"/>
    <n v="3"/>
    <n v="3031.96"/>
    <n v="294.91000000000003"/>
  </r>
  <r>
    <s v="ORD0900"/>
    <x v="240"/>
    <x v="1"/>
    <x v="4"/>
    <x v="1"/>
    <n v="10"/>
    <n v="3036.58"/>
    <n v="902.48"/>
  </r>
  <r>
    <s v="ORD0901"/>
    <x v="13"/>
    <x v="1"/>
    <x v="11"/>
    <x v="1"/>
    <n v="2"/>
    <n v="2344.46"/>
    <n v="552.15"/>
  </r>
  <r>
    <s v="ORD0902"/>
    <x v="199"/>
    <x v="2"/>
    <x v="9"/>
    <x v="2"/>
    <n v="10"/>
    <n v="2494.65"/>
    <n v="242.16"/>
  </r>
  <r>
    <s v="ORD0903"/>
    <x v="246"/>
    <x v="0"/>
    <x v="1"/>
    <x v="1"/>
    <n v="6"/>
    <n v="4118.51"/>
    <n v="817.27"/>
  </r>
  <r>
    <s v="ORD0904"/>
    <x v="119"/>
    <x v="0"/>
    <x v="9"/>
    <x v="2"/>
    <n v="10"/>
    <n v="4825.51"/>
    <n v="591.58000000000004"/>
  </r>
  <r>
    <s v="ORD0905"/>
    <x v="329"/>
    <x v="1"/>
    <x v="0"/>
    <x v="0"/>
    <n v="3"/>
    <n v="3345.17"/>
    <n v="905.94"/>
  </r>
  <r>
    <s v="ORD0906"/>
    <x v="9"/>
    <x v="1"/>
    <x v="4"/>
    <x v="1"/>
    <n v="8"/>
    <n v="6769.7"/>
    <n v="918.4"/>
  </r>
  <r>
    <s v="ORD0907"/>
    <x v="305"/>
    <x v="2"/>
    <x v="11"/>
    <x v="1"/>
    <n v="4"/>
    <n v="4515.21"/>
    <n v="1105.53"/>
  </r>
  <r>
    <s v="ORD0908"/>
    <x v="334"/>
    <x v="3"/>
    <x v="4"/>
    <x v="1"/>
    <n v="2"/>
    <n v="1542.54"/>
    <n v="449.34"/>
  </r>
  <r>
    <s v="ORD0909"/>
    <x v="206"/>
    <x v="1"/>
    <x v="8"/>
    <x v="0"/>
    <n v="4"/>
    <n v="1082.75"/>
    <n v="375.05"/>
  </r>
  <r>
    <s v="ORD0910"/>
    <x v="46"/>
    <x v="3"/>
    <x v="10"/>
    <x v="2"/>
    <n v="4"/>
    <n v="1471.56"/>
    <n v="194.69"/>
  </r>
  <r>
    <s v="ORD0911"/>
    <x v="127"/>
    <x v="1"/>
    <x v="1"/>
    <x v="1"/>
    <n v="3"/>
    <n v="2461.9899999999998"/>
    <n v="225.62"/>
  </r>
  <r>
    <s v="ORD0912"/>
    <x v="33"/>
    <x v="0"/>
    <x v="7"/>
    <x v="3"/>
    <n v="7"/>
    <n v="2373.62"/>
    <n v="585.20000000000005"/>
  </r>
  <r>
    <s v="ORD0913"/>
    <x v="335"/>
    <x v="3"/>
    <x v="8"/>
    <x v="0"/>
    <n v="1"/>
    <n v="1113.5899999999999"/>
    <n v="141.97"/>
  </r>
  <r>
    <s v="ORD0914"/>
    <x v="336"/>
    <x v="3"/>
    <x v="0"/>
    <x v="0"/>
    <n v="4"/>
    <n v="3518.45"/>
    <n v="844.54"/>
  </r>
  <r>
    <s v="ORD0915"/>
    <x v="6"/>
    <x v="0"/>
    <x v="2"/>
    <x v="2"/>
    <n v="6"/>
    <n v="1887.44"/>
    <n v="207.12"/>
  </r>
  <r>
    <s v="ORD0916"/>
    <x v="333"/>
    <x v="0"/>
    <x v="2"/>
    <x v="2"/>
    <n v="7"/>
    <n v="7352.58"/>
    <n v="1333.71"/>
  </r>
  <r>
    <s v="ORD0917"/>
    <x v="172"/>
    <x v="3"/>
    <x v="4"/>
    <x v="1"/>
    <n v="8"/>
    <n v="899.92"/>
    <n v="177.9"/>
  </r>
  <r>
    <s v="ORD0918"/>
    <x v="284"/>
    <x v="1"/>
    <x v="10"/>
    <x v="2"/>
    <n v="6"/>
    <n v="1241.19"/>
    <n v="340.52"/>
  </r>
  <r>
    <s v="ORD0919"/>
    <x v="25"/>
    <x v="1"/>
    <x v="7"/>
    <x v="3"/>
    <n v="6"/>
    <n v="1177.76"/>
    <n v="314.33999999999997"/>
  </r>
  <r>
    <s v="ORD0920"/>
    <x v="307"/>
    <x v="2"/>
    <x v="9"/>
    <x v="2"/>
    <n v="8"/>
    <n v="4618.93"/>
    <n v="583.02"/>
  </r>
  <r>
    <s v="ORD0921"/>
    <x v="269"/>
    <x v="2"/>
    <x v="5"/>
    <x v="3"/>
    <n v="3"/>
    <n v="2873.94"/>
    <n v="724.98"/>
  </r>
  <r>
    <s v="ORD0922"/>
    <x v="172"/>
    <x v="3"/>
    <x v="9"/>
    <x v="2"/>
    <n v="7"/>
    <n v="7248.64"/>
    <n v="1537.35"/>
  </r>
  <r>
    <s v="ORD0923"/>
    <x v="160"/>
    <x v="2"/>
    <x v="11"/>
    <x v="1"/>
    <n v="1"/>
    <n v="889.52"/>
    <n v="247.97"/>
  </r>
  <r>
    <s v="ORD0924"/>
    <x v="46"/>
    <x v="0"/>
    <x v="6"/>
    <x v="3"/>
    <n v="10"/>
    <n v="3057.68"/>
    <n v="1010.32"/>
  </r>
  <r>
    <s v="ORD0925"/>
    <x v="208"/>
    <x v="0"/>
    <x v="1"/>
    <x v="1"/>
    <n v="1"/>
    <n v="1189.96"/>
    <n v="330.85"/>
  </r>
  <r>
    <s v="ORD0926"/>
    <x v="221"/>
    <x v="3"/>
    <x v="4"/>
    <x v="1"/>
    <n v="7"/>
    <n v="4208.12"/>
    <n v="1243.3499999999999"/>
  </r>
  <r>
    <s v="ORD0927"/>
    <x v="66"/>
    <x v="2"/>
    <x v="1"/>
    <x v="1"/>
    <n v="2"/>
    <n v="1384.52"/>
    <n v="115.41"/>
  </r>
  <r>
    <s v="ORD0928"/>
    <x v="214"/>
    <x v="3"/>
    <x v="10"/>
    <x v="2"/>
    <n v="5"/>
    <n v="1624.61"/>
    <n v="568.15"/>
  </r>
  <r>
    <s v="ORD0929"/>
    <x v="337"/>
    <x v="3"/>
    <x v="7"/>
    <x v="3"/>
    <n v="8"/>
    <n v="8292.8799999999992"/>
    <n v="2336.66"/>
  </r>
  <r>
    <s v="ORD0930"/>
    <x v="298"/>
    <x v="3"/>
    <x v="1"/>
    <x v="1"/>
    <n v="7"/>
    <n v="1838.81"/>
    <n v="579.80999999999995"/>
  </r>
  <r>
    <s v="ORD0931"/>
    <x v="122"/>
    <x v="0"/>
    <x v="8"/>
    <x v="0"/>
    <n v="2"/>
    <n v="985.22"/>
    <n v="262.56"/>
  </r>
  <r>
    <s v="ORD0932"/>
    <x v="100"/>
    <x v="2"/>
    <x v="6"/>
    <x v="3"/>
    <n v="5"/>
    <n v="4263.82"/>
    <n v="1046.24"/>
  </r>
  <r>
    <s v="ORD0933"/>
    <x v="257"/>
    <x v="1"/>
    <x v="8"/>
    <x v="0"/>
    <n v="6"/>
    <n v="5376.75"/>
    <n v="509.71"/>
  </r>
  <r>
    <s v="ORD0934"/>
    <x v="316"/>
    <x v="1"/>
    <x v="0"/>
    <x v="0"/>
    <n v="7"/>
    <n v="3293.01"/>
    <n v="813.92"/>
  </r>
  <r>
    <s v="ORD0935"/>
    <x v="151"/>
    <x v="2"/>
    <x v="2"/>
    <x v="2"/>
    <n v="9"/>
    <n v="7745.44"/>
    <n v="1792.33"/>
  </r>
  <r>
    <s v="ORD0936"/>
    <x v="246"/>
    <x v="2"/>
    <x v="7"/>
    <x v="3"/>
    <n v="9"/>
    <n v="1625.32"/>
    <n v="340.01"/>
  </r>
  <r>
    <s v="ORD0937"/>
    <x v="237"/>
    <x v="1"/>
    <x v="10"/>
    <x v="2"/>
    <n v="6"/>
    <n v="6495.74"/>
    <n v="1402.84"/>
  </r>
  <r>
    <s v="ORD0938"/>
    <x v="165"/>
    <x v="0"/>
    <x v="0"/>
    <x v="0"/>
    <n v="6"/>
    <n v="2682.06"/>
    <n v="566.66999999999996"/>
  </r>
  <r>
    <s v="ORD0939"/>
    <x v="245"/>
    <x v="3"/>
    <x v="4"/>
    <x v="1"/>
    <n v="9"/>
    <n v="7470.49"/>
    <n v="1672.43"/>
  </r>
  <r>
    <s v="ORD0940"/>
    <x v="82"/>
    <x v="0"/>
    <x v="5"/>
    <x v="3"/>
    <n v="2"/>
    <n v="533.21"/>
    <n v="169.92"/>
  </r>
  <r>
    <s v="ORD0941"/>
    <x v="293"/>
    <x v="1"/>
    <x v="1"/>
    <x v="1"/>
    <n v="5"/>
    <n v="5759.97"/>
    <n v="580.47"/>
  </r>
  <r>
    <s v="ORD0942"/>
    <x v="216"/>
    <x v="0"/>
    <x v="8"/>
    <x v="0"/>
    <n v="3"/>
    <n v="1862.33"/>
    <n v="588.96"/>
  </r>
  <r>
    <s v="ORD0943"/>
    <x v="253"/>
    <x v="3"/>
    <x v="6"/>
    <x v="3"/>
    <n v="9"/>
    <n v="10093.32"/>
    <n v="2098.9499999999998"/>
  </r>
  <r>
    <s v="ORD0944"/>
    <x v="320"/>
    <x v="1"/>
    <x v="3"/>
    <x v="0"/>
    <n v="4"/>
    <n v="489.57"/>
    <n v="154.4"/>
  </r>
  <r>
    <s v="ORD0945"/>
    <x v="21"/>
    <x v="3"/>
    <x v="4"/>
    <x v="1"/>
    <n v="6"/>
    <n v="4824.75"/>
    <n v="1410.96"/>
  </r>
  <r>
    <s v="ORD0946"/>
    <x v="185"/>
    <x v="1"/>
    <x v="11"/>
    <x v="1"/>
    <n v="10"/>
    <n v="2017.47"/>
    <n v="591.37"/>
  </r>
  <r>
    <s v="ORD0947"/>
    <x v="249"/>
    <x v="2"/>
    <x v="10"/>
    <x v="2"/>
    <n v="6"/>
    <n v="6998"/>
    <n v="2014.25"/>
  </r>
  <r>
    <s v="ORD0948"/>
    <x v="103"/>
    <x v="1"/>
    <x v="6"/>
    <x v="3"/>
    <n v="8"/>
    <n v="9197.17"/>
    <n v="2271.98"/>
  </r>
  <r>
    <s v="ORD0949"/>
    <x v="338"/>
    <x v="2"/>
    <x v="9"/>
    <x v="2"/>
    <n v="3"/>
    <n v="706.33"/>
    <n v="78.8"/>
  </r>
  <r>
    <s v="ORD0950"/>
    <x v="275"/>
    <x v="1"/>
    <x v="11"/>
    <x v="1"/>
    <n v="6"/>
    <n v="1573.03"/>
    <n v="364.74"/>
  </r>
  <r>
    <s v="ORD0951"/>
    <x v="328"/>
    <x v="1"/>
    <x v="7"/>
    <x v="3"/>
    <n v="6"/>
    <n v="3394.16"/>
    <n v="1165.47"/>
  </r>
  <r>
    <s v="ORD0952"/>
    <x v="175"/>
    <x v="1"/>
    <x v="0"/>
    <x v="0"/>
    <n v="7"/>
    <n v="7845.1"/>
    <n v="2255.4699999999998"/>
  </r>
  <r>
    <s v="ORD0953"/>
    <x v="171"/>
    <x v="1"/>
    <x v="9"/>
    <x v="2"/>
    <n v="9"/>
    <n v="10547.47"/>
    <n v="1787.22"/>
  </r>
  <r>
    <s v="ORD0954"/>
    <x v="45"/>
    <x v="1"/>
    <x v="11"/>
    <x v="1"/>
    <n v="10"/>
    <n v="8169.21"/>
    <n v="2417.15"/>
  </r>
  <r>
    <s v="ORD0955"/>
    <x v="5"/>
    <x v="0"/>
    <x v="8"/>
    <x v="0"/>
    <n v="8"/>
    <n v="8681.61"/>
    <n v="1021.34"/>
  </r>
  <r>
    <s v="ORD0956"/>
    <x v="267"/>
    <x v="0"/>
    <x v="7"/>
    <x v="3"/>
    <n v="7"/>
    <n v="5321.05"/>
    <n v="742.28"/>
  </r>
  <r>
    <s v="ORD0957"/>
    <x v="222"/>
    <x v="1"/>
    <x v="7"/>
    <x v="3"/>
    <n v="10"/>
    <n v="7875.1"/>
    <n v="1870.54"/>
  </r>
  <r>
    <s v="ORD0958"/>
    <x v="23"/>
    <x v="0"/>
    <x v="9"/>
    <x v="2"/>
    <n v="2"/>
    <n v="1338.35"/>
    <n v="268.04000000000002"/>
  </r>
  <r>
    <s v="ORD0959"/>
    <x v="254"/>
    <x v="1"/>
    <x v="1"/>
    <x v="1"/>
    <n v="8"/>
    <n v="3323.37"/>
    <n v="808.81"/>
  </r>
  <r>
    <s v="ORD0960"/>
    <x v="248"/>
    <x v="1"/>
    <x v="1"/>
    <x v="1"/>
    <n v="7"/>
    <n v="3325.52"/>
    <n v="600.79999999999995"/>
  </r>
  <r>
    <s v="ORD0961"/>
    <x v="143"/>
    <x v="3"/>
    <x v="6"/>
    <x v="3"/>
    <n v="8"/>
    <n v="8443.58"/>
    <n v="875.19"/>
  </r>
  <r>
    <s v="ORD0962"/>
    <x v="95"/>
    <x v="3"/>
    <x v="11"/>
    <x v="1"/>
    <n v="3"/>
    <n v="2929.57"/>
    <n v="1001.91"/>
  </r>
  <r>
    <s v="ORD0963"/>
    <x v="59"/>
    <x v="1"/>
    <x v="2"/>
    <x v="2"/>
    <n v="10"/>
    <n v="1489.9"/>
    <n v="202.78"/>
  </r>
  <r>
    <s v="ORD0964"/>
    <x v="312"/>
    <x v="3"/>
    <x v="8"/>
    <x v="0"/>
    <n v="7"/>
    <n v="1062.01"/>
    <n v="202.37"/>
  </r>
  <r>
    <s v="ORD0965"/>
    <x v="13"/>
    <x v="2"/>
    <x v="2"/>
    <x v="2"/>
    <n v="8"/>
    <n v="6934.27"/>
    <n v="1968.75"/>
  </r>
  <r>
    <s v="ORD0966"/>
    <x v="125"/>
    <x v="1"/>
    <x v="10"/>
    <x v="2"/>
    <n v="5"/>
    <n v="3434.73"/>
    <n v="313.94"/>
  </r>
  <r>
    <s v="ORD0967"/>
    <x v="73"/>
    <x v="1"/>
    <x v="4"/>
    <x v="1"/>
    <n v="8"/>
    <n v="2465.59"/>
    <n v="723.97"/>
  </r>
  <r>
    <s v="ORD0968"/>
    <x v="97"/>
    <x v="3"/>
    <x v="5"/>
    <x v="3"/>
    <n v="8"/>
    <n v="1542.43"/>
    <n v="400.72"/>
  </r>
  <r>
    <s v="ORD0969"/>
    <x v="205"/>
    <x v="0"/>
    <x v="10"/>
    <x v="2"/>
    <n v="4"/>
    <n v="330.84"/>
    <n v="94.78"/>
  </r>
  <r>
    <s v="ORD0970"/>
    <x v="77"/>
    <x v="3"/>
    <x v="5"/>
    <x v="3"/>
    <n v="8"/>
    <n v="5603.29"/>
    <n v="1761.97"/>
  </r>
  <r>
    <s v="ORD0971"/>
    <x v="83"/>
    <x v="2"/>
    <x v="3"/>
    <x v="0"/>
    <n v="9"/>
    <n v="8036.11"/>
    <n v="680.96"/>
  </r>
  <r>
    <s v="ORD0972"/>
    <x v="267"/>
    <x v="2"/>
    <x v="0"/>
    <x v="0"/>
    <n v="6"/>
    <n v="3481.2"/>
    <n v="930.13"/>
  </r>
  <r>
    <s v="ORD0973"/>
    <x v="267"/>
    <x v="0"/>
    <x v="3"/>
    <x v="0"/>
    <n v="6"/>
    <n v="3194.65"/>
    <n v="1042.31"/>
  </r>
  <r>
    <s v="ORD0974"/>
    <x v="191"/>
    <x v="2"/>
    <x v="6"/>
    <x v="3"/>
    <n v="9"/>
    <n v="7063.1"/>
    <n v="711.56"/>
  </r>
  <r>
    <s v="ORD0975"/>
    <x v="339"/>
    <x v="1"/>
    <x v="8"/>
    <x v="0"/>
    <n v="3"/>
    <n v="2025.81"/>
    <n v="639.26"/>
  </r>
  <r>
    <s v="ORD0976"/>
    <x v="118"/>
    <x v="0"/>
    <x v="5"/>
    <x v="3"/>
    <n v="6"/>
    <n v="961.25"/>
    <n v="227.44"/>
  </r>
  <r>
    <s v="ORD0977"/>
    <x v="16"/>
    <x v="2"/>
    <x v="2"/>
    <x v="2"/>
    <n v="5"/>
    <n v="2394.83"/>
    <n v="505.12"/>
  </r>
  <r>
    <s v="ORD0978"/>
    <x v="153"/>
    <x v="0"/>
    <x v="0"/>
    <x v="0"/>
    <n v="3"/>
    <n v="1886.67"/>
    <n v="574.54"/>
  </r>
  <r>
    <s v="ORD0979"/>
    <x v="214"/>
    <x v="3"/>
    <x v="11"/>
    <x v="1"/>
    <n v="2"/>
    <n v="368.1"/>
    <n v="42.49"/>
  </r>
  <r>
    <s v="ORD0980"/>
    <x v="139"/>
    <x v="1"/>
    <x v="6"/>
    <x v="3"/>
    <n v="6"/>
    <n v="1259.2"/>
    <n v="250.99"/>
  </r>
  <r>
    <s v="ORD0981"/>
    <x v="222"/>
    <x v="2"/>
    <x v="2"/>
    <x v="2"/>
    <n v="5"/>
    <n v="415.37"/>
    <n v="124.58"/>
  </r>
  <r>
    <s v="ORD0982"/>
    <x v="229"/>
    <x v="3"/>
    <x v="2"/>
    <x v="2"/>
    <n v="4"/>
    <n v="1614.17"/>
    <n v="220.59"/>
  </r>
  <r>
    <s v="ORD0983"/>
    <x v="158"/>
    <x v="2"/>
    <x v="0"/>
    <x v="0"/>
    <n v="1"/>
    <n v="940.9"/>
    <n v="267.67"/>
  </r>
  <r>
    <s v="ORD0984"/>
    <x v="71"/>
    <x v="0"/>
    <x v="0"/>
    <x v="0"/>
    <n v="9"/>
    <n v="6589.37"/>
    <n v="1361.71"/>
  </r>
  <r>
    <s v="ORD0985"/>
    <x v="1"/>
    <x v="2"/>
    <x v="3"/>
    <x v="0"/>
    <n v="1"/>
    <n v="917.73"/>
    <n v="267.27999999999997"/>
  </r>
  <r>
    <s v="ORD0986"/>
    <x v="2"/>
    <x v="1"/>
    <x v="9"/>
    <x v="2"/>
    <n v="6"/>
    <n v="501.89"/>
    <n v="59.88"/>
  </r>
  <r>
    <s v="ORD0987"/>
    <x v="208"/>
    <x v="0"/>
    <x v="7"/>
    <x v="3"/>
    <n v="9"/>
    <n v="8531.2999999999993"/>
    <n v="2094.42"/>
  </r>
  <r>
    <s v="ORD0988"/>
    <x v="87"/>
    <x v="2"/>
    <x v="8"/>
    <x v="0"/>
    <n v="1"/>
    <n v="658.16"/>
    <n v="179.85"/>
  </r>
  <r>
    <s v="ORD0989"/>
    <x v="88"/>
    <x v="3"/>
    <x v="8"/>
    <x v="0"/>
    <n v="2"/>
    <n v="2225.73"/>
    <n v="731.22"/>
  </r>
  <r>
    <s v="ORD0990"/>
    <x v="61"/>
    <x v="2"/>
    <x v="5"/>
    <x v="3"/>
    <n v="10"/>
    <n v="2628.95"/>
    <n v="688.4"/>
  </r>
  <r>
    <s v="ORD0991"/>
    <x v="330"/>
    <x v="1"/>
    <x v="6"/>
    <x v="3"/>
    <n v="7"/>
    <n v="2074.91"/>
    <n v="293.47000000000003"/>
  </r>
  <r>
    <s v="ORD0992"/>
    <x v="300"/>
    <x v="1"/>
    <x v="3"/>
    <x v="0"/>
    <n v="2"/>
    <n v="1295.3699999999999"/>
    <n v="277.04000000000002"/>
  </r>
  <r>
    <s v="ORD0993"/>
    <x v="279"/>
    <x v="1"/>
    <x v="0"/>
    <x v="0"/>
    <n v="6"/>
    <n v="3706.62"/>
    <n v="681.61"/>
  </r>
  <r>
    <s v="ORD0994"/>
    <x v="70"/>
    <x v="2"/>
    <x v="1"/>
    <x v="1"/>
    <n v="9"/>
    <n v="4665.37"/>
    <n v="1613.94"/>
  </r>
  <r>
    <s v="ORD0995"/>
    <x v="90"/>
    <x v="0"/>
    <x v="3"/>
    <x v="0"/>
    <n v="6"/>
    <n v="1537.15"/>
    <n v="537.47"/>
  </r>
  <r>
    <s v="ORD0996"/>
    <x v="118"/>
    <x v="3"/>
    <x v="11"/>
    <x v="1"/>
    <n v="9"/>
    <n v="7265.97"/>
    <n v="748.04"/>
  </r>
  <r>
    <s v="ORD0997"/>
    <x v="285"/>
    <x v="0"/>
    <x v="4"/>
    <x v="1"/>
    <n v="10"/>
    <n v="11742.06"/>
    <n v="3289.97"/>
  </r>
  <r>
    <s v="ORD0998"/>
    <x v="105"/>
    <x v="0"/>
    <x v="7"/>
    <x v="3"/>
    <n v="6"/>
    <n v="1681.82"/>
    <n v="517.80999999999995"/>
  </r>
  <r>
    <s v="ORD0999"/>
    <x v="246"/>
    <x v="1"/>
    <x v="10"/>
    <x v="2"/>
    <n v="8"/>
    <n v="2962.37"/>
    <n v="807.67"/>
  </r>
  <r>
    <s v="ORD1000"/>
    <x v="21"/>
    <x v="1"/>
    <x v="11"/>
    <x v="1"/>
    <n v="8"/>
    <n v="6533.43"/>
    <n v="2198.73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895EA5-828F-4A42-9AB0-4329BB0F7622}" name="Profit Analysi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J3:K8" firstHeaderRow="1" firstDataRow="1" firstDataCol="1"/>
  <pivotFields count="9">
    <pivotField compact="0" outline="0" showAll="0"/>
    <pivotField compact="0" numFmtId="14" outline="0" showAll="0">
      <items count="341">
        <item x="19"/>
        <item x="324"/>
        <item x="302"/>
        <item x="228"/>
        <item x="207"/>
        <item x="258"/>
        <item x="219"/>
        <item x="214"/>
        <item x="315"/>
        <item x="137"/>
        <item x="189"/>
        <item x="337"/>
        <item x="335"/>
        <item x="142"/>
        <item x="178"/>
        <item x="275"/>
        <item x="203"/>
        <item x="305"/>
        <item x="314"/>
        <item x="158"/>
        <item x="121"/>
        <item x="249"/>
        <item x="200"/>
        <item x="272"/>
        <item x="254"/>
        <item x="306"/>
        <item x="25"/>
        <item x="159"/>
        <item x="247"/>
        <item x="326"/>
        <item x="332"/>
        <item x="50"/>
        <item x="96"/>
        <item x="39"/>
        <item x="31"/>
        <item x="154"/>
        <item x="229"/>
        <item x="38"/>
        <item x="303"/>
        <item x="91"/>
        <item x="82"/>
        <item x="202"/>
        <item x="102"/>
        <item x="58"/>
        <item x="206"/>
        <item x="133"/>
        <item x="221"/>
        <item x="201"/>
        <item x="0"/>
        <item x="173"/>
        <item x="61"/>
        <item x="130"/>
        <item x="140"/>
        <item x="330"/>
        <item x="75"/>
        <item x="294"/>
        <item x="242"/>
        <item x="78"/>
        <item x="62"/>
        <item x="183"/>
        <item x="89"/>
        <item x="283"/>
        <item x="261"/>
        <item x="209"/>
        <item x="250"/>
        <item x="318"/>
        <item x="13"/>
        <item x="181"/>
        <item x="149"/>
        <item x="118"/>
        <item x="170"/>
        <item x="156"/>
        <item x="46"/>
        <item x="65"/>
        <item x="73"/>
        <item x="42"/>
        <item x="36"/>
        <item x="103"/>
        <item x="255"/>
        <item x="293"/>
        <item x="256"/>
        <item x="285"/>
        <item x="185"/>
        <item x="174"/>
        <item x="268"/>
        <item x="226"/>
        <item x="166"/>
        <item x="321"/>
        <item x="179"/>
        <item x="213"/>
        <item x="34"/>
        <item x="30"/>
        <item x="191"/>
        <item x="260"/>
        <item x="18"/>
        <item x="277"/>
        <item x="151"/>
        <item x="325"/>
        <item x="56"/>
        <item x="276"/>
        <item x="40"/>
        <item x="172"/>
        <item x="215"/>
        <item x="333"/>
        <item x="222"/>
        <item x="72"/>
        <item x="92"/>
        <item x="6"/>
        <item x="304"/>
        <item x="320"/>
        <item x="263"/>
        <item x="37"/>
        <item x="32"/>
        <item x="94"/>
        <item x="220"/>
        <item x="224"/>
        <item x="160"/>
        <item x="252"/>
        <item x="15"/>
        <item x="71"/>
        <item x="218"/>
        <item x="270"/>
        <item x="83"/>
        <item x="280"/>
        <item x="17"/>
        <item x="4"/>
        <item x="112"/>
        <item x="233"/>
        <item x="81"/>
        <item x="312"/>
        <item x="199"/>
        <item x="44"/>
        <item x="2"/>
        <item x="135"/>
        <item x="87"/>
        <item x="248"/>
        <item x="64"/>
        <item x="97"/>
        <item x="299"/>
        <item x="245"/>
        <item x="129"/>
        <item x="186"/>
        <item x="41"/>
        <item x="125"/>
        <item x="278"/>
        <item x="93"/>
        <item x="20"/>
        <item x="163"/>
        <item x="108"/>
        <item x="35"/>
        <item x="176"/>
        <item x="338"/>
        <item x="180"/>
        <item x="319"/>
        <item x="99"/>
        <item x="336"/>
        <item x="54"/>
        <item x="164"/>
        <item x="117"/>
        <item x="235"/>
        <item x="161"/>
        <item x="3"/>
        <item x="24"/>
        <item x="16"/>
        <item x="307"/>
        <item x="86"/>
        <item x="184"/>
        <item x="334"/>
        <item x="147"/>
        <item x="47"/>
        <item x="267"/>
        <item x="286"/>
        <item x="300"/>
        <item x="136"/>
        <item x="7"/>
        <item x="316"/>
        <item x="193"/>
        <item x="145"/>
        <item x="169"/>
        <item x="211"/>
        <item x="301"/>
        <item x="55"/>
        <item x="116"/>
        <item x="115"/>
        <item x="243"/>
        <item x="68"/>
        <item x="212"/>
        <item x="241"/>
        <item x="308"/>
        <item x="10"/>
        <item x="105"/>
        <item x="66"/>
        <item x="132"/>
        <item x="146"/>
        <item x="48"/>
        <item x="168"/>
        <item x="223"/>
        <item x="196"/>
        <item x="253"/>
        <item x="237"/>
        <item x="95"/>
        <item x="240"/>
        <item x="70"/>
        <item x="28"/>
        <item x="291"/>
        <item x="120"/>
        <item x="52"/>
        <item x="107"/>
        <item x="251"/>
        <item x="45"/>
        <item x="143"/>
        <item x="177"/>
        <item x="232"/>
        <item x="244"/>
        <item x="144"/>
        <item x="33"/>
        <item x="279"/>
        <item x="175"/>
        <item x="124"/>
        <item x="109"/>
        <item x="187"/>
        <item x="188"/>
        <item x="49"/>
        <item x="197"/>
        <item x="57"/>
        <item x="59"/>
        <item x="198"/>
        <item x="182"/>
        <item x="110"/>
        <item x="21"/>
        <item x="119"/>
        <item x="225"/>
        <item x="90"/>
        <item x="205"/>
        <item x="60"/>
        <item x="152"/>
        <item x="106"/>
        <item x="98"/>
        <item x="141"/>
        <item x="208"/>
        <item x="238"/>
        <item x="239"/>
        <item x="150"/>
        <item x="295"/>
        <item x="167"/>
        <item x="101"/>
        <item x="216"/>
        <item x="290"/>
        <item x="155"/>
        <item x="165"/>
        <item x="22"/>
        <item x="122"/>
        <item x="331"/>
        <item x="328"/>
        <item x="51"/>
        <item x="217"/>
        <item x="128"/>
        <item x="274"/>
        <item x="114"/>
        <item x="297"/>
        <item x="104"/>
        <item x="5"/>
        <item x="138"/>
        <item x="148"/>
        <item x="192"/>
        <item x="153"/>
        <item x="12"/>
        <item x="259"/>
        <item x="227"/>
        <item x="204"/>
        <item x="282"/>
        <item x="292"/>
        <item x="100"/>
        <item x="27"/>
        <item x="157"/>
        <item x="246"/>
        <item x="195"/>
        <item x="67"/>
        <item x="310"/>
        <item x="323"/>
        <item x="329"/>
        <item x="287"/>
        <item x="139"/>
        <item x="111"/>
        <item x="281"/>
        <item x="1"/>
        <item x="230"/>
        <item x="289"/>
        <item x="322"/>
        <item x="131"/>
        <item x="269"/>
        <item x="265"/>
        <item x="234"/>
        <item x="296"/>
        <item x="123"/>
        <item x="69"/>
        <item x="53"/>
        <item x="298"/>
        <item x="77"/>
        <item x="262"/>
        <item x="284"/>
        <item x="43"/>
        <item x="80"/>
        <item x="63"/>
        <item x="9"/>
        <item x="210"/>
        <item x="127"/>
        <item x="79"/>
        <item x="266"/>
        <item x="236"/>
        <item x="29"/>
        <item x="11"/>
        <item x="162"/>
        <item x="113"/>
        <item x="273"/>
        <item x="311"/>
        <item x="313"/>
        <item x="26"/>
        <item x="23"/>
        <item x="190"/>
        <item x="257"/>
        <item x="76"/>
        <item x="327"/>
        <item x="14"/>
        <item x="8"/>
        <item x="339"/>
        <item x="126"/>
        <item x="194"/>
        <item x="84"/>
        <item x="85"/>
        <item x="288"/>
        <item x="134"/>
        <item x="264"/>
        <item x="74"/>
        <item x="317"/>
        <item x="271"/>
        <item x="171"/>
        <item x="88"/>
        <item x="309"/>
        <item x="231"/>
        <item t="default"/>
      </items>
    </pivotField>
    <pivotField axis="axisRow" compact="0" outline="0"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compact="0" outline="0" showAll="0">
      <items count="13">
        <item x="1"/>
        <item x="9"/>
        <item x="11"/>
        <item x="5"/>
        <item x="10"/>
        <item x="4"/>
        <item x="0"/>
        <item x="6"/>
        <item x="2"/>
        <item x="7"/>
        <item x="8"/>
        <item x="3"/>
        <item t="default"/>
      </items>
    </pivotField>
    <pivotField compact="0" outline="0" showAll="0">
      <items count="5">
        <item x="3"/>
        <item x="2"/>
        <item x="0"/>
        <item x="1"/>
        <item t="default"/>
      </items>
    </pivotField>
    <pivotField compact="0" numFmtId="2" outline="0" showAll="0"/>
    <pivotField compact="0" numFmtId="2" outline="0" showAll="0"/>
    <pivotField dataField="1" compact="0" numFmtId="2" outline="0" showAll="0"/>
    <pivotField compact="0" outline="0" showAll="0">
      <items count="15">
        <item x="0"/>
        <item x="1"/>
        <item x="2"/>
        <item x="3"/>
        <item x="4"/>
        <item x="5"/>
        <item x="6"/>
        <item x="7"/>
        <item x="8"/>
        <item x="9"/>
        <item x="10"/>
        <item x="11"/>
        <item x="12"/>
        <item x="13"/>
        <item t="default"/>
      </items>
    </pivotField>
  </pivotFields>
  <rowFields count="1">
    <field x="2"/>
  </rowFields>
  <rowItems count="5">
    <i>
      <x v="2"/>
    </i>
    <i>
      <x v="1"/>
    </i>
    <i>
      <x v="3"/>
    </i>
    <i>
      <x/>
    </i>
    <i t="grand">
      <x/>
    </i>
  </rowItems>
  <colItems count="1">
    <i/>
  </colItems>
  <dataFields count="1">
    <dataField name="Total Profit" fld="7" baseField="2" baseItem="2"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37AECD-2AA2-4391-A6B4-DAD4021B6182}" name="Monthly Trend"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
  <location ref="G3:H16" firstHeaderRow="1" firstDataRow="1" firstDataCol="1"/>
  <pivotFields count="9">
    <pivotField compact="0" outline="0" showAll="0"/>
    <pivotField compact="0" numFmtId="14" outline="0" showAll="0">
      <items count="341">
        <item x="19"/>
        <item x="324"/>
        <item x="302"/>
        <item x="228"/>
        <item x="207"/>
        <item x="258"/>
        <item x="219"/>
        <item x="214"/>
        <item x="315"/>
        <item x="137"/>
        <item x="189"/>
        <item x="337"/>
        <item x="335"/>
        <item x="142"/>
        <item x="178"/>
        <item x="275"/>
        <item x="203"/>
        <item x="305"/>
        <item x="314"/>
        <item x="158"/>
        <item x="121"/>
        <item x="249"/>
        <item x="200"/>
        <item x="272"/>
        <item x="254"/>
        <item x="306"/>
        <item x="25"/>
        <item x="159"/>
        <item x="247"/>
        <item x="326"/>
        <item x="332"/>
        <item x="50"/>
        <item x="96"/>
        <item x="39"/>
        <item x="31"/>
        <item x="154"/>
        <item x="229"/>
        <item x="38"/>
        <item x="303"/>
        <item x="91"/>
        <item x="82"/>
        <item x="202"/>
        <item x="102"/>
        <item x="58"/>
        <item x="206"/>
        <item x="133"/>
        <item x="221"/>
        <item x="201"/>
        <item x="0"/>
        <item x="173"/>
        <item x="61"/>
        <item x="130"/>
        <item x="140"/>
        <item x="330"/>
        <item x="75"/>
        <item x="294"/>
        <item x="242"/>
        <item x="78"/>
        <item x="62"/>
        <item x="183"/>
        <item x="89"/>
        <item x="283"/>
        <item x="261"/>
        <item x="209"/>
        <item x="250"/>
        <item x="318"/>
        <item x="13"/>
        <item x="181"/>
        <item x="149"/>
        <item x="118"/>
        <item x="170"/>
        <item x="156"/>
        <item x="46"/>
        <item x="65"/>
        <item x="73"/>
        <item x="42"/>
        <item x="36"/>
        <item x="103"/>
        <item x="255"/>
        <item x="293"/>
        <item x="256"/>
        <item x="285"/>
        <item x="185"/>
        <item x="174"/>
        <item x="268"/>
        <item x="226"/>
        <item x="166"/>
        <item x="321"/>
        <item x="179"/>
        <item x="213"/>
        <item x="34"/>
        <item x="30"/>
        <item x="191"/>
        <item x="260"/>
        <item x="18"/>
        <item x="277"/>
        <item x="151"/>
        <item x="325"/>
        <item x="56"/>
        <item x="276"/>
        <item x="40"/>
        <item x="172"/>
        <item x="215"/>
        <item x="333"/>
        <item x="222"/>
        <item x="72"/>
        <item x="92"/>
        <item x="6"/>
        <item x="304"/>
        <item x="320"/>
        <item x="263"/>
        <item x="37"/>
        <item x="32"/>
        <item x="94"/>
        <item x="220"/>
        <item x="224"/>
        <item x="160"/>
        <item x="252"/>
        <item x="15"/>
        <item x="71"/>
        <item x="218"/>
        <item x="270"/>
        <item x="83"/>
        <item x="280"/>
        <item x="17"/>
        <item x="4"/>
        <item x="112"/>
        <item x="233"/>
        <item x="81"/>
        <item x="312"/>
        <item x="199"/>
        <item x="44"/>
        <item x="2"/>
        <item x="135"/>
        <item x="87"/>
        <item x="248"/>
        <item x="64"/>
        <item x="97"/>
        <item x="299"/>
        <item x="245"/>
        <item x="129"/>
        <item x="186"/>
        <item x="41"/>
        <item x="125"/>
        <item x="278"/>
        <item x="93"/>
        <item x="20"/>
        <item x="163"/>
        <item x="108"/>
        <item x="35"/>
        <item x="176"/>
        <item x="338"/>
        <item x="180"/>
        <item x="319"/>
        <item x="99"/>
        <item x="336"/>
        <item x="54"/>
        <item x="164"/>
        <item x="117"/>
        <item x="235"/>
        <item x="161"/>
        <item x="3"/>
        <item x="24"/>
        <item x="16"/>
        <item x="307"/>
        <item x="86"/>
        <item x="184"/>
        <item x="334"/>
        <item x="147"/>
        <item x="47"/>
        <item x="267"/>
        <item x="286"/>
        <item x="300"/>
        <item x="136"/>
        <item x="7"/>
        <item x="316"/>
        <item x="193"/>
        <item x="145"/>
        <item x="169"/>
        <item x="211"/>
        <item x="301"/>
        <item x="55"/>
        <item x="116"/>
        <item x="115"/>
        <item x="243"/>
        <item x="68"/>
        <item x="212"/>
        <item x="241"/>
        <item x="308"/>
        <item x="10"/>
        <item x="105"/>
        <item x="66"/>
        <item x="132"/>
        <item x="146"/>
        <item x="48"/>
        <item x="168"/>
        <item x="223"/>
        <item x="196"/>
        <item x="253"/>
        <item x="237"/>
        <item x="95"/>
        <item x="240"/>
        <item x="70"/>
        <item x="28"/>
        <item x="291"/>
        <item x="120"/>
        <item x="52"/>
        <item x="107"/>
        <item x="251"/>
        <item x="45"/>
        <item x="143"/>
        <item x="177"/>
        <item x="232"/>
        <item x="244"/>
        <item x="144"/>
        <item x="33"/>
        <item x="279"/>
        <item x="175"/>
        <item x="124"/>
        <item x="109"/>
        <item x="187"/>
        <item x="188"/>
        <item x="49"/>
        <item x="197"/>
        <item x="57"/>
        <item x="59"/>
        <item x="198"/>
        <item x="182"/>
        <item x="110"/>
        <item x="21"/>
        <item x="119"/>
        <item x="225"/>
        <item x="90"/>
        <item x="205"/>
        <item x="60"/>
        <item x="152"/>
        <item x="106"/>
        <item x="98"/>
        <item x="141"/>
        <item x="208"/>
        <item x="238"/>
        <item x="239"/>
        <item x="150"/>
        <item x="295"/>
        <item x="167"/>
        <item x="101"/>
        <item x="216"/>
        <item x="290"/>
        <item x="155"/>
        <item x="165"/>
        <item x="22"/>
        <item x="122"/>
        <item x="331"/>
        <item x="328"/>
        <item x="51"/>
        <item x="217"/>
        <item x="128"/>
        <item x="274"/>
        <item x="114"/>
        <item x="297"/>
        <item x="104"/>
        <item x="5"/>
        <item x="138"/>
        <item x="148"/>
        <item x="192"/>
        <item x="153"/>
        <item x="12"/>
        <item x="259"/>
        <item x="227"/>
        <item x="204"/>
        <item x="282"/>
        <item x="292"/>
        <item x="100"/>
        <item x="27"/>
        <item x="157"/>
        <item x="246"/>
        <item x="195"/>
        <item x="67"/>
        <item x="310"/>
        <item x="323"/>
        <item x="329"/>
        <item x="287"/>
        <item x="139"/>
        <item x="111"/>
        <item x="281"/>
        <item x="1"/>
        <item x="230"/>
        <item x="289"/>
        <item x="322"/>
        <item x="131"/>
        <item x="269"/>
        <item x="265"/>
        <item x="234"/>
        <item x="296"/>
        <item x="123"/>
        <item x="69"/>
        <item x="53"/>
        <item x="298"/>
        <item x="77"/>
        <item x="262"/>
        <item x="284"/>
        <item x="43"/>
        <item x="80"/>
        <item x="63"/>
        <item x="9"/>
        <item x="210"/>
        <item x="127"/>
        <item x="79"/>
        <item x="266"/>
        <item x="236"/>
        <item x="29"/>
        <item x="11"/>
        <item x="162"/>
        <item x="113"/>
        <item x="273"/>
        <item x="311"/>
        <item x="313"/>
        <item x="26"/>
        <item x="23"/>
        <item x="190"/>
        <item x="257"/>
        <item x="76"/>
        <item x="327"/>
        <item x="14"/>
        <item x="8"/>
        <item x="339"/>
        <item x="126"/>
        <item x="194"/>
        <item x="84"/>
        <item x="85"/>
        <item x="288"/>
        <item x="134"/>
        <item x="264"/>
        <item x="74"/>
        <item x="317"/>
        <item x="271"/>
        <item x="171"/>
        <item x="88"/>
        <item x="309"/>
        <item x="231"/>
        <item t="default"/>
      </items>
    </pivotField>
    <pivotField compact="0" outline="0" showAll="0">
      <items count="5">
        <item x="1"/>
        <item x="0"/>
        <item x="2"/>
        <item x="3"/>
        <item t="default"/>
      </items>
    </pivotField>
    <pivotField compact="0" outline="0" showAll="0" sortType="descending">
      <items count="13">
        <item x="1"/>
        <item x="9"/>
        <item x="11"/>
        <item x="5"/>
        <item x="10"/>
        <item x="4"/>
        <item x="0"/>
        <item x="6"/>
        <item x="2"/>
        <item x="7"/>
        <item x="8"/>
        <item x="3"/>
        <item t="default"/>
      </items>
      <autoSortScope>
        <pivotArea dataOnly="0" outline="0" fieldPosition="0">
          <references count="1">
            <reference field="4294967294" count="1" selected="0">
              <x v="0"/>
            </reference>
          </references>
        </pivotArea>
      </autoSortScope>
    </pivotField>
    <pivotField compact="0" outline="0" showAll="0">
      <items count="5">
        <item x="3"/>
        <item x="2"/>
        <item x="0"/>
        <item x="1"/>
        <item t="default"/>
      </items>
    </pivotField>
    <pivotField compact="0" numFmtId="2" outline="0" showAll="0"/>
    <pivotField dataField="1" compact="0" numFmtId="2" outline="0" showAll="0"/>
    <pivotField compact="0" numFmtId="2" outline="0" showAll="0"/>
    <pivotField name="Months" axis="axisRow" compact="0" outline="0" showAll="0">
      <items count="15">
        <item x="0"/>
        <item x="1"/>
        <item x="2"/>
        <item x="3"/>
        <item x="4"/>
        <item x="5"/>
        <item x="6"/>
        <item x="7"/>
        <item x="8"/>
        <item x="9"/>
        <item x="10"/>
        <item x="11"/>
        <item x="12"/>
        <item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Total Sales" fld="6" baseField="2" baseItem="0" numFmtId="165"/>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95FC6A-F6E7-43A3-9869-5483D4552848}" name="Top 5 Products" cacheId="0" applyNumberFormats="0" applyBorderFormats="0" applyFontFormats="0" applyPatternFormats="0" applyAlignmentFormats="0" applyWidthHeightFormats="1" dataCaption="Values" updatedVersion="8" minRefreshableVersion="5" useAutoFormatting="1" rowGrandTotals="0" itemPrintTitles="1" createdVersion="8" indent="0" compact="0" compactData="0" multipleFieldFilters="0" chartFormat="5">
  <location ref="D3:E8" firstHeaderRow="1" firstDataRow="1" firstDataCol="1"/>
  <pivotFields count="9">
    <pivotField compact="0" outline="0" showAll="0"/>
    <pivotField compact="0" numFmtId="14" outline="0" showAll="0">
      <items count="341">
        <item x="19"/>
        <item x="324"/>
        <item x="302"/>
        <item x="228"/>
        <item x="207"/>
        <item x="258"/>
        <item x="219"/>
        <item x="214"/>
        <item x="315"/>
        <item x="137"/>
        <item x="189"/>
        <item x="337"/>
        <item x="335"/>
        <item x="142"/>
        <item x="178"/>
        <item x="275"/>
        <item x="203"/>
        <item x="305"/>
        <item x="314"/>
        <item x="158"/>
        <item x="121"/>
        <item x="249"/>
        <item x="200"/>
        <item x="272"/>
        <item x="254"/>
        <item x="306"/>
        <item x="25"/>
        <item x="159"/>
        <item x="247"/>
        <item x="326"/>
        <item x="332"/>
        <item x="50"/>
        <item x="96"/>
        <item x="39"/>
        <item x="31"/>
        <item x="154"/>
        <item x="229"/>
        <item x="38"/>
        <item x="303"/>
        <item x="91"/>
        <item x="82"/>
        <item x="202"/>
        <item x="102"/>
        <item x="58"/>
        <item x="206"/>
        <item x="133"/>
        <item x="221"/>
        <item x="201"/>
        <item x="0"/>
        <item x="173"/>
        <item x="61"/>
        <item x="130"/>
        <item x="140"/>
        <item x="330"/>
        <item x="75"/>
        <item x="294"/>
        <item x="242"/>
        <item x="78"/>
        <item x="62"/>
        <item x="183"/>
        <item x="89"/>
        <item x="283"/>
        <item x="261"/>
        <item x="209"/>
        <item x="250"/>
        <item x="318"/>
        <item x="13"/>
        <item x="181"/>
        <item x="149"/>
        <item x="118"/>
        <item x="170"/>
        <item x="156"/>
        <item x="46"/>
        <item x="65"/>
        <item x="73"/>
        <item x="42"/>
        <item x="36"/>
        <item x="103"/>
        <item x="255"/>
        <item x="293"/>
        <item x="256"/>
        <item x="285"/>
        <item x="185"/>
        <item x="174"/>
        <item x="268"/>
        <item x="226"/>
        <item x="166"/>
        <item x="321"/>
        <item x="179"/>
        <item x="213"/>
        <item x="34"/>
        <item x="30"/>
        <item x="191"/>
        <item x="260"/>
        <item x="18"/>
        <item x="277"/>
        <item x="151"/>
        <item x="325"/>
        <item x="56"/>
        <item x="276"/>
        <item x="40"/>
        <item x="172"/>
        <item x="215"/>
        <item x="333"/>
        <item x="222"/>
        <item x="72"/>
        <item x="92"/>
        <item x="6"/>
        <item x="304"/>
        <item x="320"/>
        <item x="263"/>
        <item x="37"/>
        <item x="32"/>
        <item x="94"/>
        <item x="220"/>
        <item x="224"/>
        <item x="160"/>
        <item x="252"/>
        <item x="15"/>
        <item x="71"/>
        <item x="218"/>
        <item x="270"/>
        <item x="83"/>
        <item x="280"/>
        <item x="17"/>
        <item x="4"/>
        <item x="112"/>
        <item x="233"/>
        <item x="81"/>
        <item x="312"/>
        <item x="199"/>
        <item x="44"/>
        <item x="2"/>
        <item x="135"/>
        <item x="87"/>
        <item x="248"/>
        <item x="64"/>
        <item x="97"/>
        <item x="299"/>
        <item x="245"/>
        <item x="129"/>
        <item x="186"/>
        <item x="41"/>
        <item x="125"/>
        <item x="278"/>
        <item x="93"/>
        <item x="20"/>
        <item x="163"/>
        <item x="108"/>
        <item x="35"/>
        <item x="176"/>
        <item x="338"/>
        <item x="180"/>
        <item x="319"/>
        <item x="99"/>
        <item x="336"/>
        <item x="54"/>
        <item x="164"/>
        <item x="117"/>
        <item x="235"/>
        <item x="161"/>
        <item x="3"/>
        <item x="24"/>
        <item x="16"/>
        <item x="307"/>
        <item x="86"/>
        <item x="184"/>
        <item x="334"/>
        <item x="147"/>
        <item x="47"/>
        <item x="267"/>
        <item x="286"/>
        <item x="300"/>
        <item x="136"/>
        <item x="7"/>
        <item x="316"/>
        <item x="193"/>
        <item x="145"/>
        <item x="169"/>
        <item x="211"/>
        <item x="301"/>
        <item x="55"/>
        <item x="116"/>
        <item x="115"/>
        <item x="243"/>
        <item x="68"/>
        <item x="212"/>
        <item x="241"/>
        <item x="308"/>
        <item x="10"/>
        <item x="105"/>
        <item x="66"/>
        <item x="132"/>
        <item x="146"/>
        <item x="48"/>
        <item x="168"/>
        <item x="223"/>
        <item x="196"/>
        <item x="253"/>
        <item x="237"/>
        <item x="95"/>
        <item x="240"/>
        <item x="70"/>
        <item x="28"/>
        <item x="291"/>
        <item x="120"/>
        <item x="52"/>
        <item x="107"/>
        <item x="251"/>
        <item x="45"/>
        <item x="143"/>
        <item x="177"/>
        <item x="232"/>
        <item x="244"/>
        <item x="144"/>
        <item x="33"/>
        <item x="279"/>
        <item x="175"/>
        <item x="124"/>
        <item x="109"/>
        <item x="187"/>
        <item x="188"/>
        <item x="49"/>
        <item x="197"/>
        <item x="57"/>
        <item x="59"/>
        <item x="198"/>
        <item x="182"/>
        <item x="110"/>
        <item x="21"/>
        <item x="119"/>
        <item x="225"/>
        <item x="90"/>
        <item x="205"/>
        <item x="60"/>
        <item x="152"/>
        <item x="106"/>
        <item x="98"/>
        <item x="141"/>
        <item x="208"/>
        <item x="238"/>
        <item x="239"/>
        <item x="150"/>
        <item x="295"/>
        <item x="167"/>
        <item x="101"/>
        <item x="216"/>
        <item x="290"/>
        <item x="155"/>
        <item x="165"/>
        <item x="22"/>
        <item x="122"/>
        <item x="331"/>
        <item x="328"/>
        <item x="51"/>
        <item x="217"/>
        <item x="128"/>
        <item x="274"/>
        <item x="114"/>
        <item x="297"/>
        <item x="104"/>
        <item x="5"/>
        <item x="138"/>
        <item x="148"/>
        <item x="192"/>
        <item x="153"/>
        <item x="12"/>
        <item x="259"/>
        <item x="227"/>
        <item x="204"/>
        <item x="282"/>
        <item x="292"/>
        <item x="100"/>
        <item x="27"/>
        <item x="157"/>
        <item x="246"/>
        <item x="195"/>
        <item x="67"/>
        <item x="310"/>
        <item x="323"/>
        <item x="329"/>
        <item x="287"/>
        <item x="139"/>
        <item x="111"/>
        <item x="281"/>
        <item x="1"/>
        <item x="230"/>
        <item x="289"/>
        <item x="322"/>
        <item x="131"/>
        <item x="269"/>
        <item x="265"/>
        <item x="234"/>
        <item x="296"/>
        <item x="123"/>
        <item x="69"/>
        <item x="53"/>
        <item x="298"/>
        <item x="77"/>
        <item x="262"/>
        <item x="284"/>
        <item x="43"/>
        <item x="80"/>
        <item x="63"/>
        <item x="9"/>
        <item x="210"/>
        <item x="127"/>
        <item x="79"/>
        <item x="266"/>
        <item x="236"/>
        <item x="29"/>
        <item x="11"/>
        <item x="162"/>
        <item x="113"/>
        <item x="273"/>
        <item x="311"/>
        <item x="313"/>
        <item x="26"/>
        <item x="23"/>
        <item x="190"/>
        <item x="257"/>
        <item x="76"/>
        <item x="327"/>
        <item x="14"/>
        <item x="8"/>
        <item x="339"/>
        <item x="126"/>
        <item x="194"/>
        <item x="84"/>
        <item x="85"/>
        <item x="288"/>
        <item x="134"/>
        <item x="264"/>
        <item x="74"/>
        <item x="317"/>
        <item x="271"/>
        <item x="171"/>
        <item x="88"/>
        <item x="309"/>
        <item x="231"/>
        <item t="default"/>
      </items>
    </pivotField>
    <pivotField compact="0" outline="0" showAll="0">
      <items count="5">
        <item x="1"/>
        <item x="0"/>
        <item x="2"/>
        <item x="3"/>
        <item t="default"/>
      </items>
    </pivotField>
    <pivotField axis="axisRow" compact="0" outline="0" showAll="0" measureFilter="1" sortType="ascending">
      <items count="13">
        <item x="1"/>
        <item x="9"/>
        <item x="11"/>
        <item x="5"/>
        <item x="10"/>
        <item x="4"/>
        <item x="0"/>
        <item x="6"/>
        <item x="2"/>
        <item x="7"/>
        <item x="8"/>
        <item x="3"/>
        <item t="default"/>
      </items>
      <autoSortScope>
        <pivotArea dataOnly="0" outline="0" fieldPosition="0">
          <references count="1">
            <reference field="4294967294" count="1" selected="0">
              <x v="0"/>
            </reference>
          </references>
        </pivotArea>
      </autoSortScope>
    </pivotField>
    <pivotField compact="0" outline="0" showAll="0">
      <items count="5">
        <item x="3"/>
        <item x="2"/>
        <item x="0"/>
        <item x="1"/>
        <item t="default"/>
      </items>
    </pivotField>
    <pivotField compact="0" numFmtId="2" outline="0" showAll="0"/>
    <pivotField dataField="1" compact="0" numFmtId="2" outline="0" showAll="0"/>
    <pivotField compact="0" numFmtId="2" outline="0" showAll="0"/>
    <pivotField compact="0" outline="0" showAll="0">
      <items count="15">
        <item x="0"/>
        <item x="1"/>
        <item x="2"/>
        <item x="3"/>
        <item x="4"/>
        <item x="5"/>
        <item x="6"/>
        <item x="7"/>
        <item x="8"/>
        <item x="9"/>
        <item x="10"/>
        <item x="11"/>
        <item x="12"/>
        <item x="13"/>
        <item t="default"/>
      </items>
    </pivotField>
  </pivotFields>
  <rowFields count="1">
    <field x="3"/>
  </rowFields>
  <rowItems count="5">
    <i>
      <x/>
    </i>
    <i>
      <x v="11"/>
    </i>
    <i>
      <x v="7"/>
    </i>
    <i>
      <x v="6"/>
    </i>
    <i>
      <x v="5"/>
    </i>
  </rowItems>
  <colItems count="1">
    <i/>
  </colItems>
  <dataFields count="1">
    <dataField name="Total Sales" fld="6" baseField="2" baseItem="0" numFmtId="165"/>
  </dataFields>
  <formats count="1">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5FAC75-F862-43C7-AD92-00C4AE5E1487}" name="Region Performance"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A3:B8" firstHeaderRow="1" firstDataRow="1" firstDataCol="1"/>
  <pivotFields count="9">
    <pivotField compact="0" outline="0" showAll="0"/>
    <pivotField compact="0" numFmtId="14" outline="0" showAll="0">
      <items count="341">
        <item x="19"/>
        <item x="324"/>
        <item x="302"/>
        <item x="228"/>
        <item x="207"/>
        <item x="258"/>
        <item x="219"/>
        <item x="214"/>
        <item x="315"/>
        <item x="137"/>
        <item x="189"/>
        <item x="337"/>
        <item x="335"/>
        <item x="142"/>
        <item x="178"/>
        <item x="275"/>
        <item x="203"/>
        <item x="305"/>
        <item x="314"/>
        <item x="158"/>
        <item x="121"/>
        <item x="249"/>
        <item x="200"/>
        <item x="272"/>
        <item x="254"/>
        <item x="306"/>
        <item x="25"/>
        <item x="159"/>
        <item x="247"/>
        <item x="326"/>
        <item x="332"/>
        <item x="50"/>
        <item x="96"/>
        <item x="39"/>
        <item x="31"/>
        <item x="154"/>
        <item x="229"/>
        <item x="38"/>
        <item x="303"/>
        <item x="91"/>
        <item x="82"/>
        <item x="202"/>
        <item x="102"/>
        <item x="58"/>
        <item x="206"/>
        <item x="133"/>
        <item x="221"/>
        <item x="201"/>
        <item x="0"/>
        <item x="173"/>
        <item x="61"/>
        <item x="130"/>
        <item x="140"/>
        <item x="330"/>
        <item x="75"/>
        <item x="294"/>
        <item x="242"/>
        <item x="78"/>
        <item x="62"/>
        <item x="183"/>
        <item x="89"/>
        <item x="283"/>
        <item x="261"/>
        <item x="209"/>
        <item x="250"/>
        <item x="318"/>
        <item x="13"/>
        <item x="181"/>
        <item x="149"/>
        <item x="118"/>
        <item x="170"/>
        <item x="156"/>
        <item x="46"/>
        <item x="65"/>
        <item x="73"/>
        <item x="42"/>
        <item x="36"/>
        <item x="103"/>
        <item x="255"/>
        <item x="293"/>
        <item x="256"/>
        <item x="285"/>
        <item x="185"/>
        <item x="174"/>
        <item x="268"/>
        <item x="226"/>
        <item x="166"/>
        <item x="321"/>
        <item x="179"/>
        <item x="213"/>
        <item x="34"/>
        <item x="30"/>
        <item x="191"/>
        <item x="260"/>
        <item x="18"/>
        <item x="277"/>
        <item x="151"/>
        <item x="325"/>
        <item x="56"/>
        <item x="276"/>
        <item x="40"/>
        <item x="172"/>
        <item x="215"/>
        <item x="333"/>
        <item x="222"/>
        <item x="72"/>
        <item x="92"/>
        <item x="6"/>
        <item x="304"/>
        <item x="320"/>
        <item x="263"/>
        <item x="37"/>
        <item x="32"/>
        <item x="94"/>
        <item x="220"/>
        <item x="224"/>
        <item x="160"/>
        <item x="252"/>
        <item x="15"/>
        <item x="71"/>
        <item x="218"/>
        <item x="270"/>
        <item x="83"/>
        <item x="280"/>
        <item x="17"/>
        <item x="4"/>
        <item x="112"/>
        <item x="233"/>
        <item x="81"/>
        <item x="312"/>
        <item x="199"/>
        <item x="44"/>
        <item x="2"/>
        <item x="135"/>
        <item x="87"/>
        <item x="248"/>
        <item x="64"/>
        <item x="97"/>
        <item x="299"/>
        <item x="245"/>
        <item x="129"/>
        <item x="186"/>
        <item x="41"/>
        <item x="125"/>
        <item x="278"/>
        <item x="93"/>
        <item x="20"/>
        <item x="163"/>
        <item x="108"/>
        <item x="35"/>
        <item x="176"/>
        <item x="338"/>
        <item x="180"/>
        <item x="319"/>
        <item x="99"/>
        <item x="336"/>
        <item x="54"/>
        <item x="164"/>
        <item x="117"/>
        <item x="235"/>
        <item x="161"/>
        <item x="3"/>
        <item x="24"/>
        <item x="16"/>
        <item x="307"/>
        <item x="86"/>
        <item x="184"/>
        <item x="334"/>
        <item x="147"/>
        <item x="47"/>
        <item x="267"/>
        <item x="286"/>
        <item x="300"/>
        <item x="136"/>
        <item x="7"/>
        <item x="316"/>
        <item x="193"/>
        <item x="145"/>
        <item x="169"/>
        <item x="211"/>
        <item x="301"/>
        <item x="55"/>
        <item x="116"/>
        <item x="115"/>
        <item x="243"/>
        <item x="68"/>
        <item x="212"/>
        <item x="241"/>
        <item x="308"/>
        <item x="10"/>
        <item x="105"/>
        <item x="66"/>
        <item x="132"/>
        <item x="146"/>
        <item x="48"/>
        <item x="168"/>
        <item x="223"/>
        <item x="196"/>
        <item x="253"/>
        <item x="237"/>
        <item x="95"/>
        <item x="240"/>
        <item x="70"/>
        <item x="28"/>
        <item x="291"/>
        <item x="120"/>
        <item x="52"/>
        <item x="107"/>
        <item x="251"/>
        <item x="45"/>
        <item x="143"/>
        <item x="177"/>
        <item x="232"/>
        <item x="244"/>
        <item x="144"/>
        <item x="33"/>
        <item x="279"/>
        <item x="175"/>
        <item x="124"/>
        <item x="109"/>
        <item x="187"/>
        <item x="188"/>
        <item x="49"/>
        <item x="197"/>
        <item x="57"/>
        <item x="59"/>
        <item x="198"/>
        <item x="182"/>
        <item x="110"/>
        <item x="21"/>
        <item x="119"/>
        <item x="225"/>
        <item x="90"/>
        <item x="205"/>
        <item x="60"/>
        <item x="152"/>
        <item x="106"/>
        <item x="98"/>
        <item x="141"/>
        <item x="208"/>
        <item x="238"/>
        <item x="239"/>
        <item x="150"/>
        <item x="295"/>
        <item x="167"/>
        <item x="101"/>
        <item x="216"/>
        <item x="290"/>
        <item x="155"/>
        <item x="165"/>
        <item x="22"/>
        <item x="122"/>
        <item x="331"/>
        <item x="328"/>
        <item x="51"/>
        <item x="217"/>
        <item x="128"/>
        <item x="274"/>
        <item x="114"/>
        <item x="297"/>
        <item x="104"/>
        <item x="5"/>
        <item x="138"/>
        <item x="148"/>
        <item x="192"/>
        <item x="153"/>
        <item x="12"/>
        <item x="259"/>
        <item x="227"/>
        <item x="204"/>
        <item x="282"/>
        <item x="292"/>
        <item x="100"/>
        <item x="27"/>
        <item x="157"/>
        <item x="246"/>
        <item x="195"/>
        <item x="67"/>
        <item x="310"/>
        <item x="323"/>
        <item x="329"/>
        <item x="287"/>
        <item x="139"/>
        <item x="111"/>
        <item x="281"/>
        <item x="1"/>
        <item x="230"/>
        <item x="289"/>
        <item x="322"/>
        <item x="131"/>
        <item x="269"/>
        <item x="265"/>
        <item x="234"/>
        <item x="296"/>
        <item x="123"/>
        <item x="69"/>
        <item x="53"/>
        <item x="298"/>
        <item x="77"/>
        <item x="262"/>
        <item x="284"/>
        <item x="43"/>
        <item x="80"/>
        <item x="63"/>
        <item x="9"/>
        <item x="210"/>
        <item x="127"/>
        <item x="79"/>
        <item x="266"/>
        <item x="236"/>
        <item x="29"/>
        <item x="11"/>
        <item x="162"/>
        <item x="113"/>
        <item x="273"/>
        <item x="311"/>
        <item x="313"/>
        <item x="26"/>
        <item x="23"/>
        <item x="190"/>
        <item x="257"/>
        <item x="76"/>
        <item x="327"/>
        <item x="14"/>
        <item x="8"/>
        <item x="339"/>
        <item x="126"/>
        <item x="194"/>
        <item x="84"/>
        <item x="85"/>
        <item x="288"/>
        <item x="134"/>
        <item x="264"/>
        <item x="74"/>
        <item x="317"/>
        <item x="271"/>
        <item x="171"/>
        <item x="88"/>
        <item x="309"/>
        <item x="231"/>
        <item t="default"/>
      </items>
    </pivotField>
    <pivotField axis="axisRow" compact="0" outline="0"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compact="0" outline="0" showAll="0">
      <items count="13">
        <item x="1"/>
        <item x="9"/>
        <item x="11"/>
        <item x="5"/>
        <item x="10"/>
        <item x="4"/>
        <item x="0"/>
        <item x="6"/>
        <item x="2"/>
        <item x="7"/>
        <item x="8"/>
        <item x="3"/>
        <item t="default"/>
      </items>
    </pivotField>
    <pivotField compact="0" outline="0" showAll="0">
      <items count="5">
        <item x="3"/>
        <item x="2"/>
        <item x="0"/>
        <item x="1"/>
        <item t="default"/>
      </items>
    </pivotField>
    <pivotField compact="0" numFmtId="2" outline="0" showAll="0"/>
    <pivotField dataField="1" compact="0" numFmtId="2" outline="0" showAll="0"/>
    <pivotField compact="0" numFmtId="2" outline="0" showAll="0"/>
    <pivotField compact="0" outline="0" showAll="0">
      <items count="15">
        <item x="0"/>
        <item x="1"/>
        <item x="2"/>
        <item x="3"/>
        <item x="4"/>
        <item x="5"/>
        <item x="6"/>
        <item x="7"/>
        <item x="8"/>
        <item x="9"/>
        <item x="10"/>
        <item x="11"/>
        <item x="12"/>
        <item x="13"/>
        <item t="default"/>
      </items>
    </pivotField>
  </pivotFields>
  <rowFields count="1">
    <field x="2"/>
  </rowFields>
  <rowItems count="5">
    <i>
      <x v="2"/>
    </i>
    <i>
      <x v="1"/>
    </i>
    <i>
      <x v="3"/>
    </i>
    <i>
      <x/>
    </i>
    <i t="grand">
      <x/>
    </i>
  </rowItems>
  <colItems count="1">
    <i/>
  </colItems>
  <dataFields count="1">
    <dataField name="Total Sales" fld="6" baseField="2" baseItem="0" numFmtId="165"/>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34C575-3EFA-4097-9BB4-0B988C8397C5}" name="Category Analysis" cacheId="0" applyNumberFormats="0" applyBorderFormats="0" applyFontFormats="0" applyPatternFormats="0" applyAlignmentFormats="0" applyWidthHeightFormats="1" dataCaption="Values" updatedVersion="8" minRefreshableVersion="5" useAutoFormatting="1" rowGrandTotals="0" itemPrintTitles="1" createdVersion="8" indent="0" compact="0" compactData="0" multipleFieldFilters="0" chartFormat="5">
  <location ref="M3:N7" firstHeaderRow="1" firstDataRow="1" firstDataCol="1"/>
  <pivotFields count="9">
    <pivotField compact="0" outline="0" showAll="0"/>
    <pivotField compact="0" numFmtId="14" outline="0" showAll="0">
      <items count="341">
        <item x="19"/>
        <item x="324"/>
        <item x="302"/>
        <item x="228"/>
        <item x="207"/>
        <item x="258"/>
        <item x="219"/>
        <item x="214"/>
        <item x="315"/>
        <item x="137"/>
        <item x="189"/>
        <item x="337"/>
        <item x="335"/>
        <item x="142"/>
        <item x="178"/>
        <item x="275"/>
        <item x="203"/>
        <item x="305"/>
        <item x="314"/>
        <item x="158"/>
        <item x="121"/>
        <item x="249"/>
        <item x="200"/>
        <item x="272"/>
        <item x="254"/>
        <item x="306"/>
        <item x="25"/>
        <item x="159"/>
        <item x="247"/>
        <item x="326"/>
        <item x="332"/>
        <item x="50"/>
        <item x="96"/>
        <item x="39"/>
        <item x="31"/>
        <item x="154"/>
        <item x="229"/>
        <item x="38"/>
        <item x="303"/>
        <item x="91"/>
        <item x="82"/>
        <item x="202"/>
        <item x="102"/>
        <item x="58"/>
        <item x="206"/>
        <item x="133"/>
        <item x="221"/>
        <item x="201"/>
        <item x="0"/>
        <item x="173"/>
        <item x="61"/>
        <item x="130"/>
        <item x="140"/>
        <item x="330"/>
        <item x="75"/>
        <item x="294"/>
        <item x="242"/>
        <item x="78"/>
        <item x="62"/>
        <item x="183"/>
        <item x="89"/>
        <item x="283"/>
        <item x="261"/>
        <item x="209"/>
        <item x="250"/>
        <item x="318"/>
        <item x="13"/>
        <item x="181"/>
        <item x="149"/>
        <item x="118"/>
        <item x="170"/>
        <item x="156"/>
        <item x="46"/>
        <item x="65"/>
        <item x="73"/>
        <item x="42"/>
        <item x="36"/>
        <item x="103"/>
        <item x="255"/>
        <item x="293"/>
        <item x="256"/>
        <item x="285"/>
        <item x="185"/>
        <item x="174"/>
        <item x="268"/>
        <item x="226"/>
        <item x="166"/>
        <item x="321"/>
        <item x="179"/>
        <item x="213"/>
        <item x="34"/>
        <item x="30"/>
        <item x="191"/>
        <item x="260"/>
        <item x="18"/>
        <item x="277"/>
        <item x="151"/>
        <item x="325"/>
        <item x="56"/>
        <item x="276"/>
        <item x="40"/>
        <item x="172"/>
        <item x="215"/>
        <item x="333"/>
        <item x="222"/>
        <item x="72"/>
        <item x="92"/>
        <item x="6"/>
        <item x="304"/>
        <item x="320"/>
        <item x="263"/>
        <item x="37"/>
        <item x="32"/>
        <item x="94"/>
        <item x="220"/>
        <item x="224"/>
        <item x="160"/>
        <item x="252"/>
        <item x="15"/>
        <item x="71"/>
        <item x="218"/>
        <item x="270"/>
        <item x="83"/>
        <item x="280"/>
        <item x="17"/>
        <item x="4"/>
        <item x="112"/>
        <item x="233"/>
        <item x="81"/>
        <item x="312"/>
        <item x="199"/>
        <item x="44"/>
        <item x="2"/>
        <item x="135"/>
        <item x="87"/>
        <item x="248"/>
        <item x="64"/>
        <item x="97"/>
        <item x="299"/>
        <item x="245"/>
        <item x="129"/>
        <item x="186"/>
        <item x="41"/>
        <item x="125"/>
        <item x="278"/>
        <item x="93"/>
        <item x="20"/>
        <item x="163"/>
        <item x="108"/>
        <item x="35"/>
        <item x="176"/>
        <item x="338"/>
        <item x="180"/>
        <item x="319"/>
        <item x="99"/>
        <item x="336"/>
        <item x="54"/>
        <item x="164"/>
        <item x="117"/>
        <item x="235"/>
        <item x="161"/>
        <item x="3"/>
        <item x="24"/>
        <item x="16"/>
        <item x="307"/>
        <item x="86"/>
        <item x="184"/>
        <item x="334"/>
        <item x="147"/>
        <item x="47"/>
        <item x="267"/>
        <item x="286"/>
        <item x="300"/>
        <item x="136"/>
        <item x="7"/>
        <item x="316"/>
        <item x="193"/>
        <item x="145"/>
        <item x="169"/>
        <item x="211"/>
        <item x="301"/>
        <item x="55"/>
        <item x="116"/>
        <item x="115"/>
        <item x="243"/>
        <item x="68"/>
        <item x="212"/>
        <item x="241"/>
        <item x="308"/>
        <item x="10"/>
        <item x="105"/>
        <item x="66"/>
        <item x="132"/>
        <item x="146"/>
        <item x="48"/>
        <item x="168"/>
        <item x="223"/>
        <item x="196"/>
        <item x="253"/>
        <item x="237"/>
        <item x="95"/>
        <item x="240"/>
        <item x="70"/>
        <item x="28"/>
        <item x="291"/>
        <item x="120"/>
        <item x="52"/>
        <item x="107"/>
        <item x="251"/>
        <item x="45"/>
        <item x="143"/>
        <item x="177"/>
        <item x="232"/>
        <item x="244"/>
        <item x="144"/>
        <item x="33"/>
        <item x="279"/>
        <item x="175"/>
        <item x="124"/>
        <item x="109"/>
        <item x="187"/>
        <item x="188"/>
        <item x="49"/>
        <item x="197"/>
        <item x="57"/>
        <item x="59"/>
        <item x="198"/>
        <item x="182"/>
        <item x="110"/>
        <item x="21"/>
        <item x="119"/>
        <item x="225"/>
        <item x="90"/>
        <item x="205"/>
        <item x="60"/>
        <item x="152"/>
        <item x="106"/>
        <item x="98"/>
        <item x="141"/>
        <item x="208"/>
        <item x="238"/>
        <item x="239"/>
        <item x="150"/>
        <item x="295"/>
        <item x="167"/>
        <item x="101"/>
        <item x="216"/>
        <item x="290"/>
        <item x="155"/>
        <item x="165"/>
        <item x="22"/>
        <item x="122"/>
        <item x="331"/>
        <item x="328"/>
        <item x="51"/>
        <item x="217"/>
        <item x="128"/>
        <item x="274"/>
        <item x="114"/>
        <item x="297"/>
        <item x="104"/>
        <item x="5"/>
        <item x="138"/>
        <item x="148"/>
        <item x="192"/>
        <item x="153"/>
        <item x="12"/>
        <item x="259"/>
        <item x="227"/>
        <item x="204"/>
        <item x="282"/>
        <item x="292"/>
        <item x="100"/>
        <item x="27"/>
        <item x="157"/>
        <item x="246"/>
        <item x="195"/>
        <item x="67"/>
        <item x="310"/>
        <item x="323"/>
        <item x="329"/>
        <item x="287"/>
        <item x="139"/>
        <item x="111"/>
        <item x="281"/>
        <item x="1"/>
        <item x="230"/>
        <item x="289"/>
        <item x="322"/>
        <item x="131"/>
        <item x="269"/>
        <item x="265"/>
        <item x="234"/>
        <item x="296"/>
        <item x="123"/>
        <item x="69"/>
        <item x="53"/>
        <item x="298"/>
        <item x="77"/>
        <item x="262"/>
        <item x="284"/>
        <item x="43"/>
        <item x="80"/>
        <item x="63"/>
        <item x="9"/>
        <item x="210"/>
        <item x="127"/>
        <item x="79"/>
        <item x="266"/>
        <item x="236"/>
        <item x="29"/>
        <item x="11"/>
        <item x="162"/>
        <item x="113"/>
        <item x="273"/>
        <item x="311"/>
        <item x="313"/>
        <item x="26"/>
        <item x="23"/>
        <item x="190"/>
        <item x="257"/>
        <item x="76"/>
        <item x="327"/>
        <item x="14"/>
        <item x="8"/>
        <item x="339"/>
        <item x="126"/>
        <item x="194"/>
        <item x="84"/>
        <item x="85"/>
        <item x="288"/>
        <item x="134"/>
        <item x="264"/>
        <item x="74"/>
        <item x="317"/>
        <item x="271"/>
        <item x="171"/>
        <item x="88"/>
        <item x="309"/>
        <item x="231"/>
        <item t="default"/>
      </items>
    </pivotField>
    <pivotField compact="0" outline="0" showAll="0">
      <items count="5">
        <item x="1"/>
        <item x="0"/>
        <item x="2"/>
        <item x="3"/>
        <item t="default"/>
      </items>
    </pivotField>
    <pivotField compact="0" outline="0" showAll="0">
      <items count="13">
        <item x="1"/>
        <item x="9"/>
        <item x="11"/>
        <item x="5"/>
        <item x="10"/>
        <item x="4"/>
        <item x="0"/>
        <item x="6"/>
        <item x="2"/>
        <item x="7"/>
        <item x="8"/>
        <item x="3"/>
        <item t="default"/>
      </items>
    </pivotField>
    <pivotField axis="axisRow" compact="0" outline="0" showAll="0" sortType="ascending">
      <items count="5">
        <item x="3"/>
        <item x="2"/>
        <item x="0"/>
        <item x="1"/>
        <item t="default"/>
      </items>
      <autoSortScope>
        <pivotArea dataOnly="0" outline="0" fieldPosition="0">
          <references count="1">
            <reference field="4294967294" count="1" selected="0">
              <x v="0"/>
            </reference>
          </references>
        </pivotArea>
      </autoSortScope>
    </pivotField>
    <pivotField compact="0" numFmtId="2" outline="0" showAll="0"/>
    <pivotField dataField="1" compact="0" numFmtId="2" outline="0" showAll="0"/>
    <pivotField compact="0" numFmtId="2" outline="0" showAll="0"/>
    <pivotField compact="0" outline="0" showAll="0">
      <items count="15">
        <item x="0"/>
        <item x="1"/>
        <item x="2"/>
        <item x="3"/>
        <item x="4"/>
        <item x="5"/>
        <item x="6"/>
        <item x="7"/>
        <item x="8"/>
        <item x="9"/>
        <item x="10"/>
        <item x="11"/>
        <item x="12"/>
        <item x="13"/>
        <item t="default"/>
      </items>
    </pivotField>
  </pivotFields>
  <rowFields count="1">
    <field x="4"/>
  </rowFields>
  <rowItems count="4">
    <i>
      <x v="1"/>
    </i>
    <i>
      <x/>
    </i>
    <i>
      <x v="2"/>
    </i>
    <i>
      <x v="3"/>
    </i>
  </rowItems>
  <colItems count="1">
    <i/>
  </colItems>
  <dataFields count="1">
    <dataField name="Total Sales" fld="6" baseField="4" baseItem="0" numFmtId="2"/>
  </dataFields>
  <formats count="1">
    <format dxfId="4">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3"/>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BDF6DE-2967-4E26-B001-B5F0AFE193C3}" sourceName="Region">
  <pivotTables>
    <pivotTable tabId="4" name="Region Performance"/>
    <pivotTable tabId="4" name="Category Analysis"/>
    <pivotTable tabId="4" name="Monthly Trend"/>
    <pivotTable tabId="4" name="Profit Analysis"/>
    <pivotTable tabId="4" name="Top 5 Products"/>
  </pivotTables>
  <data>
    <tabular pivotCacheId="964463414">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00F16F0-312D-4E63-B376-A7CB6CC65057}" sourceName="Product">
  <pivotTables>
    <pivotTable tabId="4" name="Region Performance"/>
    <pivotTable tabId="4" name="Category Analysis"/>
    <pivotTable tabId="4" name="Monthly Trend"/>
    <pivotTable tabId="4" name="Profit Analysis"/>
    <pivotTable tabId="4" name="Top 5 Products"/>
  </pivotTables>
  <data>
    <tabular pivotCacheId="964463414">
      <items count="12">
        <i x="1" s="1"/>
        <i x="9" s="1"/>
        <i x="11" s="1"/>
        <i x="5" s="1"/>
        <i x="10" s="1"/>
        <i x="4" s="1"/>
        <i x="0" s="1"/>
        <i x="6" s="1"/>
        <i x="2" s="1"/>
        <i x="7" s="1"/>
        <i x="8"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F4ADEB-446B-4F48-87AD-89C46F7D8F73}" sourceName="Category">
  <pivotTables>
    <pivotTable tabId="4" name="Region Performance"/>
    <pivotTable tabId="4" name="Category Analysis"/>
    <pivotTable tabId="4" name="Monthly Trend"/>
    <pivotTable tabId="4" name="Profit Analysis"/>
    <pivotTable tabId="4" name="Top 5 Products"/>
  </pivotTables>
  <data>
    <tabular pivotCacheId="964463414">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2000E27-593B-41E6-B06D-E83D420A667B}" cache="Slicer_Region" caption="Region" rowHeight="241300"/>
  <slicer name="Product" xr10:uid="{A19159AE-612A-4D6A-9AD3-0C9F1C15FCA4}" cache="Slicer_Product" caption="Product" columnCount="3" rowHeight="241300"/>
  <slicer name="Category" xr10:uid="{D1B57EA3-3644-44FD-8708-3354B184E277}"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43042A-DC52-4DF6-9EB0-0A9E2209CC95}" name="SalesData" displayName="SalesData" ref="A1:H1001" totalsRowShown="0">
  <autoFilter ref="A1:H1001" xr:uid="{6643042A-DC52-4DF6-9EB0-0A9E2209CC95}"/>
  <tableColumns count="8">
    <tableColumn id="1" xr3:uid="{F8FDA374-4421-491B-93D7-D852EF2A9CCD}" name="OrderID"/>
    <tableColumn id="2" xr3:uid="{E25BACD3-7956-45B5-9FC7-A44EBE334DF5}" name="OrderDate" dataDxfId="8"/>
    <tableColumn id="3" xr3:uid="{3E2ED067-B474-4FFF-84A3-E867B62366C6}" name="Region"/>
    <tableColumn id="4" xr3:uid="{63D69128-CDDC-4AB9-B972-2EE38C4503F2}" name="Product"/>
    <tableColumn id="5" xr3:uid="{C943FEA5-1511-42E3-9B8C-915178C64B10}" name="Category"/>
    <tableColumn id="6" xr3:uid="{DE289DB8-F177-4E43-A8CC-D1D69ECA60C6}" name="Quantity" dataDxfId="7"/>
    <tableColumn id="7" xr3:uid="{C2E0472C-06C5-4828-B20B-2B1C7FD25D7A}" name="Sales" dataDxfId="6"/>
    <tableColumn id="8" xr3:uid="{0BBBB95B-6922-4C40-AB6F-32E086C5C1AD}" name="Profit"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F0BB71A8-5667-4079-BBBE-98219D988112}" sourceName="OrderDate">
  <pivotTables>
    <pivotTable tabId="4" name="Category Analysis"/>
    <pivotTable tabId="4" name="Monthly Trend"/>
    <pivotTable tabId="4" name="Profit Analysis"/>
    <pivotTable tabId="4" name="Region Performance"/>
    <pivotTable tabId="4" name="Top 5 Products"/>
  </pivotTables>
  <state minimalRefreshVersion="6" lastRefreshVersion="6" pivotCacheId="964463414"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D90B84B3-7255-4388-ACA3-C6AAB5D309A2}" cache="NativeTimeline_OrderDate" caption="OrderDate" showHorizontalScrollbar="0"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opLeftCell="A2" workbookViewId="0">
      <selection activeCell="B5" sqref="B5"/>
    </sheetView>
  </sheetViews>
  <sheetFormatPr defaultRowHeight="15" x14ac:dyDescent="0.25"/>
  <cols>
    <col min="1" max="6" width="18.42578125" customWidth="1"/>
    <col min="7" max="8" width="18.42578125" style="1" customWidth="1"/>
  </cols>
  <sheetData>
    <row r="1" spans="1:8" x14ac:dyDescent="0.25">
      <c r="A1" t="s">
        <v>0</v>
      </c>
      <c r="B1" t="s">
        <v>1</v>
      </c>
      <c r="C1" t="s">
        <v>2</v>
      </c>
      <c r="D1" t="s">
        <v>3</v>
      </c>
      <c r="E1" t="s">
        <v>4</v>
      </c>
      <c r="F1" t="s">
        <v>5</v>
      </c>
      <c r="G1" s="1" t="s">
        <v>6</v>
      </c>
      <c r="H1" s="1" t="s">
        <v>7</v>
      </c>
    </row>
    <row r="2" spans="1:8" x14ac:dyDescent="0.25">
      <c r="A2" t="s">
        <v>8</v>
      </c>
      <c r="B2" s="2">
        <v>45710</v>
      </c>
      <c r="C2" t="s">
        <v>9</v>
      </c>
      <c r="D2" t="s">
        <v>10</v>
      </c>
      <c r="E2" t="s">
        <v>11</v>
      </c>
      <c r="F2" s="1">
        <v>5</v>
      </c>
      <c r="G2" s="1">
        <v>1658.13</v>
      </c>
      <c r="H2" s="1">
        <v>195.12</v>
      </c>
    </row>
    <row r="3" spans="1:8" x14ac:dyDescent="0.25">
      <c r="A3" t="s">
        <v>12</v>
      </c>
      <c r="B3" s="2">
        <v>45966</v>
      </c>
      <c r="C3" t="s">
        <v>9</v>
      </c>
      <c r="D3" t="s">
        <v>13</v>
      </c>
      <c r="E3" t="s">
        <v>14</v>
      </c>
      <c r="F3" s="1">
        <v>1</v>
      </c>
      <c r="G3" s="1">
        <v>157.75</v>
      </c>
      <c r="H3" s="1">
        <v>22.53</v>
      </c>
    </row>
    <row r="4" spans="1:8" x14ac:dyDescent="0.25">
      <c r="A4" t="s">
        <v>15</v>
      </c>
      <c r="B4" s="2">
        <v>45800</v>
      </c>
      <c r="C4" t="s">
        <v>9</v>
      </c>
      <c r="D4" t="s">
        <v>16</v>
      </c>
      <c r="E4" t="s">
        <v>17</v>
      </c>
      <c r="F4" s="1">
        <v>9</v>
      </c>
      <c r="G4" s="1">
        <v>4792.03</v>
      </c>
      <c r="H4" s="1">
        <v>964.57</v>
      </c>
    </row>
    <row r="5" spans="1:8" x14ac:dyDescent="0.25">
      <c r="A5" t="s">
        <v>18</v>
      </c>
      <c r="B5" s="2">
        <v>45830</v>
      </c>
      <c r="C5" t="s">
        <v>9</v>
      </c>
      <c r="D5" t="s">
        <v>16</v>
      </c>
      <c r="E5" t="s">
        <v>17</v>
      </c>
      <c r="F5" s="1">
        <v>7</v>
      </c>
      <c r="G5" s="1">
        <v>3089.02</v>
      </c>
      <c r="H5" s="1">
        <v>376.8</v>
      </c>
    </row>
    <row r="6" spans="1:8" x14ac:dyDescent="0.25">
      <c r="A6" t="s">
        <v>19</v>
      </c>
      <c r="B6" s="2">
        <v>45793</v>
      </c>
      <c r="C6" t="s">
        <v>9</v>
      </c>
      <c r="D6" t="s">
        <v>20</v>
      </c>
      <c r="E6" t="s">
        <v>11</v>
      </c>
      <c r="F6" s="1">
        <v>2</v>
      </c>
      <c r="G6" s="1">
        <v>925.65</v>
      </c>
      <c r="H6" s="1">
        <v>160.02000000000001</v>
      </c>
    </row>
    <row r="7" spans="1:8" x14ac:dyDescent="0.25">
      <c r="A7" t="s">
        <v>21</v>
      </c>
      <c r="B7" s="2">
        <v>45940</v>
      </c>
      <c r="C7" t="s">
        <v>22</v>
      </c>
      <c r="D7" t="s">
        <v>23</v>
      </c>
      <c r="E7" t="s">
        <v>14</v>
      </c>
      <c r="F7" s="1">
        <v>2</v>
      </c>
      <c r="G7" s="1">
        <v>2338.17</v>
      </c>
      <c r="H7" s="1">
        <v>426.02</v>
      </c>
    </row>
    <row r="8" spans="1:8" x14ac:dyDescent="0.25">
      <c r="A8" t="s">
        <v>24</v>
      </c>
      <c r="B8" s="2">
        <v>45774</v>
      </c>
      <c r="C8" t="s">
        <v>22</v>
      </c>
      <c r="D8" t="s">
        <v>25</v>
      </c>
      <c r="E8" t="s">
        <v>26</v>
      </c>
      <c r="F8" s="1">
        <v>4</v>
      </c>
      <c r="G8" s="1">
        <v>3441.03</v>
      </c>
      <c r="H8" s="1">
        <v>317.86</v>
      </c>
    </row>
    <row r="9" spans="1:8" x14ac:dyDescent="0.25">
      <c r="A9" t="s">
        <v>27</v>
      </c>
      <c r="B9" s="2">
        <v>45844</v>
      </c>
      <c r="C9" t="s">
        <v>28</v>
      </c>
      <c r="D9" t="s">
        <v>10</v>
      </c>
      <c r="E9" t="s">
        <v>11</v>
      </c>
      <c r="F9" s="1">
        <v>2</v>
      </c>
      <c r="G9" s="1">
        <v>974.29</v>
      </c>
      <c r="H9" s="1">
        <v>197.22</v>
      </c>
    </row>
    <row r="10" spans="1:8" x14ac:dyDescent="0.25">
      <c r="A10" t="s">
        <v>29</v>
      </c>
      <c r="B10" s="2">
        <v>46007</v>
      </c>
      <c r="C10" t="s">
        <v>9</v>
      </c>
      <c r="D10" t="s">
        <v>30</v>
      </c>
      <c r="E10" t="s">
        <v>26</v>
      </c>
      <c r="F10" s="1">
        <v>4</v>
      </c>
      <c r="G10" s="1">
        <v>3282.81</v>
      </c>
      <c r="H10" s="1">
        <v>884.69</v>
      </c>
    </row>
    <row r="11" spans="1:8" x14ac:dyDescent="0.25">
      <c r="A11" t="s">
        <v>31</v>
      </c>
      <c r="B11" s="2">
        <v>45985</v>
      </c>
      <c r="C11" t="s">
        <v>28</v>
      </c>
      <c r="D11" t="s">
        <v>16</v>
      </c>
      <c r="E11" t="s">
        <v>17</v>
      </c>
      <c r="F11" s="1">
        <v>4</v>
      </c>
      <c r="G11" s="1">
        <v>951.65</v>
      </c>
      <c r="H11" s="1">
        <v>173.63</v>
      </c>
    </row>
    <row r="12" spans="1:8" x14ac:dyDescent="0.25">
      <c r="A12" t="s">
        <v>32</v>
      </c>
      <c r="B12" s="2">
        <v>45863</v>
      </c>
      <c r="C12" t="s">
        <v>22</v>
      </c>
      <c r="D12" t="s">
        <v>33</v>
      </c>
      <c r="E12" t="s">
        <v>26</v>
      </c>
      <c r="F12" s="1">
        <v>4</v>
      </c>
      <c r="G12" s="1">
        <v>3980.29</v>
      </c>
      <c r="H12" s="1">
        <v>1183.5899999999999</v>
      </c>
    </row>
    <row r="13" spans="1:8" x14ac:dyDescent="0.25">
      <c r="A13" t="s">
        <v>34</v>
      </c>
      <c r="B13" s="2">
        <v>45993</v>
      </c>
      <c r="C13" t="s">
        <v>35</v>
      </c>
      <c r="D13" t="s">
        <v>10</v>
      </c>
      <c r="E13" t="s">
        <v>11</v>
      </c>
      <c r="F13" s="1">
        <v>10</v>
      </c>
      <c r="G13" s="1">
        <v>10578.23</v>
      </c>
      <c r="H13" s="1">
        <v>1745.02</v>
      </c>
    </row>
    <row r="14" spans="1:8" x14ac:dyDescent="0.25">
      <c r="A14" t="s">
        <v>36</v>
      </c>
      <c r="B14" s="2">
        <v>45945</v>
      </c>
      <c r="C14" t="s">
        <v>22</v>
      </c>
      <c r="D14" t="s">
        <v>23</v>
      </c>
      <c r="E14" t="s">
        <v>14</v>
      </c>
      <c r="F14" s="1">
        <v>8</v>
      </c>
      <c r="G14" s="1">
        <v>1714.42</v>
      </c>
      <c r="H14" s="1">
        <v>201.79</v>
      </c>
    </row>
    <row r="15" spans="1:8" x14ac:dyDescent="0.25">
      <c r="A15" t="s">
        <v>37</v>
      </c>
      <c r="B15" s="2">
        <v>45728</v>
      </c>
      <c r="C15" t="s">
        <v>35</v>
      </c>
      <c r="D15" t="s">
        <v>23</v>
      </c>
      <c r="E15" t="s">
        <v>14</v>
      </c>
      <c r="F15" s="1">
        <v>7</v>
      </c>
      <c r="G15" s="1">
        <v>3264.07</v>
      </c>
      <c r="H15" s="1">
        <v>1140.07</v>
      </c>
    </row>
    <row r="16" spans="1:8" x14ac:dyDescent="0.25">
      <c r="A16" t="s">
        <v>38</v>
      </c>
      <c r="B16" s="2">
        <v>46006</v>
      </c>
      <c r="C16" t="s">
        <v>35</v>
      </c>
      <c r="D16" t="s">
        <v>10</v>
      </c>
      <c r="E16" t="s">
        <v>11</v>
      </c>
      <c r="F16" s="1">
        <v>2</v>
      </c>
      <c r="G16" s="1">
        <v>451.54</v>
      </c>
      <c r="H16" s="1">
        <v>55.63</v>
      </c>
    </row>
    <row r="17" spans="1:8" x14ac:dyDescent="0.25">
      <c r="A17" t="s">
        <v>39</v>
      </c>
      <c r="B17" s="2">
        <v>45786</v>
      </c>
      <c r="C17" t="s">
        <v>9</v>
      </c>
      <c r="D17" t="s">
        <v>20</v>
      </c>
      <c r="E17" t="s">
        <v>11</v>
      </c>
      <c r="F17" s="1">
        <v>7</v>
      </c>
      <c r="G17" s="1">
        <v>5146.8999999999996</v>
      </c>
      <c r="H17" s="1">
        <v>1062.18</v>
      </c>
    </row>
    <row r="18" spans="1:8" x14ac:dyDescent="0.25">
      <c r="A18" t="s">
        <v>40</v>
      </c>
      <c r="B18" s="2">
        <v>45832</v>
      </c>
      <c r="C18" t="s">
        <v>9</v>
      </c>
      <c r="D18" t="s">
        <v>41</v>
      </c>
      <c r="E18" t="s">
        <v>11</v>
      </c>
      <c r="F18" s="1">
        <v>9</v>
      </c>
      <c r="G18" s="1">
        <v>8221.59</v>
      </c>
      <c r="H18" s="1">
        <v>2363.89</v>
      </c>
    </row>
    <row r="19" spans="1:8" x14ac:dyDescent="0.25">
      <c r="A19" t="s">
        <v>42</v>
      </c>
      <c r="B19" s="2">
        <v>45792</v>
      </c>
      <c r="C19" t="s">
        <v>28</v>
      </c>
      <c r="D19" t="s">
        <v>30</v>
      </c>
      <c r="E19" t="s">
        <v>26</v>
      </c>
      <c r="F19" s="1">
        <v>3</v>
      </c>
      <c r="G19" s="1">
        <v>1715.35</v>
      </c>
      <c r="H19" s="1">
        <v>578.98</v>
      </c>
    </row>
    <row r="20" spans="1:8" x14ac:dyDescent="0.25">
      <c r="A20" t="s">
        <v>43</v>
      </c>
      <c r="B20" s="2">
        <v>45759</v>
      </c>
      <c r="C20" t="s">
        <v>28</v>
      </c>
      <c r="D20" t="s">
        <v>41</v>
      </c>
      <c r="E20" t="s">
        <v>11</v>
      </c>
      <c r="F20" s="1">
        <v>5</v>
      </c>
      <c r="G20" s="1">
        <v>5089.6000000000004</v>
      </c>
      <c r="H20" s="1">
        <v>1104.79</v>
      </c>
    </row>
    <row r="21" spans="1:8" x14ac:dyDescent="0.25">
      <c r="A21" t="s">
        <v>44</v>
      </c>
      <c r="B21" s="2">
        <v>45658</v>
      </c>
      <c r="C21" t="s">
        <v>22</v>
      </c>
      <c r="D21" t="s">
        <v>33</v>
      </c>
      <c r="E21" t="s">
        <v>26</v>
      </c>
      <c r="F21" s="1">
        <v>9</v>
      </c>
      <c r="G21" s="1">
        <v>10318.719999999999</v>
      </c>
      <c r="H21" s="1">
        <v>3395.45</v>
      </c>
    </row>
    <row r="22" spans="1:8" x14ac:dyDescent="0.25">
      <c r="A22" t="s">
        <v>45</v>
      </c>
      <c r="B22" s="2">
        <v>45815</v>
      </c>
      <c r="C22" t="s">
        <v>28</v>
      </c>
      <c r="D22" t="s">
        <v>13</v>
      </c>
      <c r="E22" t="s">
        <v>14</v>
      </c>
      <c r="F22" s="1">
        <v>2</v>
      </c>
      <c r="G22" s="1">
        <v>2236.9299999999998</v>
      </c>
      <c r="H22" s="1">
        <v>709.68</v>
      </c>
    </row>
    <row r="23" spans="1:8" x14ac:dyDescent="0.25">
      <c r="A23" t="s">
        <v>46</v>
      </c>
      <c r="B23" s="2">
        <v>45906</v>
      </c>
      <c r="C23" t="s">
        <v>9</v>
      </c>
      <c r="D23" t="s">
        <v>10</v>
      </c>
      <c r="E23" t="s">
        <v>11</v>
      </c>
      <c r="F23" s="1">
        <v>10</v>
      </c>
      <c r="G23" s="1">
        <v>11389.92</v>
      </c>
      <c r="H23" s="1">
        <v>1174.5999999999999</v>
      </c>
    </row>
    <row r="24" spans="1:8" x14ac:dyDescent="0.25">
      <c r="A24" t="s">
        <v>47</v>
      </c>
      <c r="B24" s="2">
        <v>45928</v>
      </c>
      <c r="C24" t="s">
        <v>35</v>
      </c>
      <c r="D24" t="s">
        <v>48</v>
      </c>
      <c r="E24" t="s">
        <v>17</v>
      </c>
      <c r="F24" s="1">
        <v>8</v>
      </c>
      <c r="G24" s="1">
        <v>9111.01</v>
      </c>
      <c r="H24" s="1">
        <v>1135.0899999999999</v>
      </c>
    </row>
    <row r="25" spans="1:8" x14ac:dyDescent="0.25">
      <c r="A25" t="s">
        <v>49</v>
      </c>
      <c r="B25" s="2">
        <v>46001</v>
      </c>
      <c r="C25" t="s">
        <v>22</v>
      </c>
      <c r="D25" t="s">
        <v>16</v>
      </c>
      <c r="E25" t="s">
        <v>17</v>
      </c>
      <c r="F25" s="1">
        <v>4</v>
      </c>
      <c r="G25" s="1">
        <v>3479.57</v>
      </c>
      <c r="H25" s="1">
        <v>653.21</v>
      </c>
    </row>
    <row r="26" spans="1:8" x14ac:dyDescent="0.25">
      <c r="A26" t="s">
        <v>50</v>
      </c>
      <c r="B26" s="2">
        <v>45831</v>
      </c>
      <c r="C26" t="s">
        <v>9</v>
      </c>
      <c r="D26" t="s">
        <v>23</v>
      </c>
      <c r="E26" t="s">
        <v>14</v>
      </c>
      <c r="F26" s="1">
        <v>8</v>
      </c>
      <c r="G26" s="1">
        <v>1513.24</v>
      </c>
      <c r="H26" s="1">
        <v>212.86</v>
      </c>
    </row>
    <row r="27" spans="1:8" x14ac:dyDescent="0.25">
      <c r="A27" t="s">
        <v>51</v>
      </c>
      <c r="B27" s="2">
        <v>45688</v>
      </c>
      <c r="C27" t="s">
        <v>28</v>
      </c>
      <c r="D27" t="s">
        <v>16</v>
      </c>
      <c r="E27" t="s">
        <v>17</v>
      </c>
      <c r="F27" s="1">
        <v>4</v>
      </c>
      <c r="G27" s="1">
        <v>233.08</v>
      </c>
      <c r="H27" s="1">
        <v>63.19</v>
      </c>
    </row>
    <row r="28" spans="1:8" x14ac:dyDescent="0.25">
      <c r="A28" t="s">
        <v>52</v>
      </c>
      <c r="B28" s="2">
        <v>46000</v>
      </c>
      <c r="C28" t="s">
        <v>35</v>
      </c>
      <c r="D28" t="s">
        <v>10</v>
      </c>
      <c r="E28" t="s">
        <v>11</v>
      </c>
      <c r="F28" s="1">
        <v>6</v>
      </c>
      <c r="G28" s="1">
        <v>788.92</v>
      </c>
      <c r="H28" s="1">
        <v>113.81</v>
      </c>
    </row>
    <row r="29" spans="1:8" x14ac:dyDescent="0.25">
      <c r="A29" t="s">
        <v>53</v>
      </c>
      <c r="B29" s="2">
        <v>45953</v>
      </c>
      <c r="C29" t="s">
        <v>35</v>
      </c>
      <c r="D29" t="s">
        <v>16</v>
      </c>
      <c r="E29" t="s">
        <v>17</v>
      </c>
      <c r="F29" s="1">
        <v>3</v>
      </c>
      <c r="G29" s="1">
        <v>2645.57</v>
      </c>
      <c r="H29" s="1">
        <v>841.94</v>
      </c>
    </row>
    <row r="30" spans="1:8" x14ac:dyDescent="0.25">
      <c r="A30" t="s">
        <v>54</v>
      </c>
      <c r="B30" s="2">
        <v>45878</v>
      </c>
      <c r="C30" t="s">
        <v>22</v>
      </c>
      <c r="D30" t="s">
        <v>55</v>
      </c>
      <c r="E30" t="s">
        <v>17</v>
      </c>
      <c r="F30" s="1">
        <v>7</v>
      </c>
      <c r="G30" s="1">
        <v>1882.8</v>
      </c>
      <c r="H30" s="1">
        <v>199.9</v>
      </c>
    </row>
    <row r="31" spans="1:8" x14ac:dyDescent="0.25">
      <c r="A31" t="s">
        <v>56</v>
      </c>
      <c r="B31" s="2">
        <v>45992</v>
      </c>
      <c r="C31" t="s">
        <v>9</v>
      </c>
      <c r="D31" t="s">
        <v>57</v>
      </c>
      <c r="E31" t="s">
        <v>14</v>
      </c>
      <c r="F31" s="1">
        <v>8</v>
      </c>
      <c r="G31" s="1">
        <v>8347.2999999999993</v>
      </c>
      <c r="H31" s="1">
        <v>789.87</v>
      </c>
    </row>
    <row r="32" spans="1:8" x14ac:dyDescent="0.25">
      <c r="A32" t="s">
        <v>58</v>
      </c>
      <c r="B32" s="2">
        <v>45756</v>
      </c>
      <c r="C32" t="s">
        <v>28</v>
      </c>
      <c r="D32" t="s">
        <v>20</v>
      </c>
      <c r="E32" t="s">
        <v>11</v>
      </c>
      <c r="F32" s="1">
        <v>6</v>
      </c>
      <c r="G32" s="1">
        <v>5824.09</v>
      </c>
      <c r="H32" s="1">
        <v>637.75</v>
      </c>
    </row>
    <row r="33" spans="1:8" x14ac:dyDescent="0.25">
      <c r="A33" t="s">
        <v>59</v>
      </c>
      <c r="B33" s="2">
        <v>45696</v>
      </c>
      <c r="C33" t="s">
        <v>35</v>
      </c>
      <c r="D33" t="s">
        <v>13</v>
      </c>
      <c r="E33" t="s">
        <v>14</v>
      </c>
      <c r="F33" s="1">
        <v>7</v>
      </c>
      <c r="G33" s="1">
        <v>1827.08</v>
      </c>
      <c r="H33" s="1">
        <v>374.39</v>
      </c>
    </row>
    <row r="34" spans="1:8" x14ac:dyDescent="0.25">
      <c r="A34" t="s">
        <v>60</v>
      </c>
      <c r="B34" s="2">
        <v>45779</v>
      </c>
      <c r="C34" t="s">
        <v>28</v>
      </c>
      <c r="D34" t="s">
        <v>10</v>
      </c>
      <c r="E34" t="s">
        <v>11</v>
      </c>
      <c r="F34" s="1">
        <v>9</v>
      </c>
      <c r="G34" s="1">
        <v>9102.89</v>
      </c>
      <c r="H34" s="1">
        <v>3109.81</v>
      </c>
    </row>
    <row r="35" spans="1:8" x14ac:dyDescent="0.25">
      <c r="A35" t="s">
        <v>61</v>
      </c>
      <c r="B35" s="2">
        <v>45688</v>
      </c>
      <c r="C35" t="s">
        <v>28</v>
      </c>
      <c r="D35" t="s">
        <v>57</v>
      </c>
      <c r="E35" t="s">
        <v>14</v>
      </c>
      <c r="F35" s="1">
        <v>8</v>
      </c>
      <c r="G35" s="1">
        <v>2366.48</v>
      </c>
      <c r="H35" s="1">
        <v>445.56</v>
      </c>
    </row>
    <row r="36" spans="1:8" x14ac:dyDescent="0.25">
      <c r="A36" t="s">
        <v>62</v>
      </c>
      <c r="B36" s="2">
        <v>45890</v>
      </c>
      <c r="C36" t="s">
        <v>22</v>
      </c>
      <c r="D36" t="s">
        <v>13</v>
      </c>
      <c r="E36" t="s">
        <v>14</v>
      </c>
      <c r="F36" s="1">
        <v>7</v>
      </c>
      <c r="G36" s="1">
        <v>2484.88</v>
      </c>
      <c r="H36" s="1">
        <v>724.84</v>
      </c>
    </row>
    <row r="37" spans="1:8" x14ac:dyDescent="0.25">
      <c r="A37" t="s">
        <v>63</v>
      </c>
      <c r="B37" s="2">
        <v>45755</v>
      </c>
      <c r="C37" t="s">
        <v>22</v>
      </c>
      <c r="D37" t="s">
        <v>23</v>
      </c>
      <c r="E37" t="s">
        <v>14</v>
      </c>
      <c r="F37" s="1">
        <v>9</v>
      </c>
      <c r="G37" s="1">
        <v>7300.37</v>
      </c>
      <c r="H37" s="1">
        <v>1543.31</v>
      </c>
    </row>
    <row r="38" spans="1:8" x14ac:dyDescent="0.25">
      <c r="A38" t="s">
        <v>64</v>
      </c>
      <c r="B38" s="2">
        <v>45818</v>
      </c>
      <c r="C38" t="s">
        <v>9</v>
      </c>
      <c r="D38" t="s">
        <v>48</v>
      </c>
      <c r="E38" t="s">
        <v>17</v>
      </c>
      <c r="F38" s="1">
        <v>10</v>
      </c>
      <c r="G38" s="1">
        <v>8960.98</v>
      </c>
      <c r="H38" s="1">
        <v>864.36</v>
      </c>
    </row>
    <row r="39" spans="1:8" x14ac:dyDescent="0.25">
      <c r="A39" t="s">
        <v>65</v>
      </c>
      <c r="B39" s="2">
        <v>45738</v>
      </c>
      <c r="C39" t="s">
        <v>9</v>
      </c>
      <c r="D39" t="s">
        <v>41</v>
      </c>
      <c r="E39" t="s">
        <v>11</v>
      </c>
      <c r="F39" s="1">
        <v>8</v>
      </c>
      <c r="G39" s="1">
        <v>5026.22</v>
      </c>
      <c r="H39" s="1">
        <v>1559.31</v>
      </c>
    </row>
    <row r="40" spans="1:8" x14ac:dyDescent="0.25">
      <c r="A40" t="s">
        <v>66</v>
      </c>
      <c r="B40" s="2">
        <v>45778</v>
      </c>
      <c r="C40" t="s">
        <v>35</v>
      </c>
      <c r="D40" t="s">
        <v>10</v>
      </c>
      <c r="E40" t="s">
        <v>11</v>
      </c>
      <c r="F40" s="1">
        <v>2</v>
      </c>
      <c r="G40" s="1">
        <v>1468.58</v>
      </c>
      <c r="H40" s="1">
        <v>385.22</v>
      </c>
    </row>
    <row r="41" spans="1:8" x14ac:dyDescent="0.25">
      <c r="A41" t="s">
        <v>67</v>
      </c>
      <c r="B41" s="2">
        <v>45699</v>
      </c>
      <c r="C41" t="s">
        <v>35</v>
      </c>
      <c r="D41" t="s">
        <v>41</v>
      </c>
      <c r="E41" t="s">
        <v>11</v>
      </c>
      <c r="F41" s="1">
        <v>4</v>
      </c>
      <c r="G41" s="1">
        <v>2863.03</v>
      </c>
      <c r="H41" s="1">
        <v>259.76</v>
      </c>
    </row>
    <row r="42" spans="1:8" x14ac:dyDescent="0.25">
      <c r="A42" t="s">
        <v>68</v>
      </c>
      <c r="B42" s="2">
        <v>45793</v>
      </c>
      <c r="C42" t="s">
        <v>35</v>
      </c>
      <c r="D42" t="s">
        <v>30</v>
      </c>
      <c r="E42" t="s">
        <v>26</v>
      </c>
      <c r="F42" s="1">
        <v>4</v>
      </c>
      <c r="G42" s="1">
        <v>3280.74</v>
      </c>
      <c r="H42" s="1">
        <v>540.76</v>
      </c>
    </row>
    <row r="43" spans="1:8" x14ac:dyDescent="0.25">
      <c r="A43" t="s">
        <v>69</v>
      </c>
      <c r="B43" s="2">
        <v>45695</v>
      </c>
      <c r="C43" t="s">
        <v>9</v>
      </c>
      <c r="D43" t="s">
        <v>16</v>
      </c>
      <c r="E43" t="s">
        <v>17</v>
      </c>
      <c r="F43" s="1">
        <v>5</v>
      </c>
      <c r="G43" s="1">
        <v>2879.04</v>
      </c>
      <c r="H43" s="1">
        <v>952.49</v>
      </c>
    </row>
    <row r="44" spans="1:8" x14ac:dyDescent="0.25">
      <c r="A44" t="s">
        <v>70</v>
      </c>
      <c r="B44" s="2">
        <v>45767</v>
      </c>
      <c r="C44" t="s">
        <v>22</v>
      </c>
      <c r="D44" t="s">
        <v>23</v>
      </c>
      <c r="E44" t="s">
        <v>14</v>
      </c>
      <c r="F44" s="1">
        <v>10</v>
      </c>
      <c r="G44" s="1">
        <v>11955.11</v>
      </c>
      <c r="H44" s="1">
        <v>1192.8900000000001</v>
      </c>
    </row>
    <row r="45" spans="1:8" x14ac:dyDescent="0.25">
      <c r="A45" t="s">
        <v>71</v>
      </c>
      <c r="B45" s="2">
        <v>45738</v>
      </c>
      <c r="C45" t="s">
        <v>35</v>
      </c>
      <c r="D45" t="s">
        <v>55</v>
      </c>
      <c r="E45" t="s">
        <v>17</v>
      </c>
      <c r="F45" s="1">
        <v>2</v>
      </c>
      <c r="G45" s="1">
        <v>2122.3200000000002</v>
      </c>
      <c r="H45" s="1">
        <v>381.53</v>
      </c>
    </row>
    <row r="46" spans="1:8" x14ac:dyDescent="0.25">
      <c r="A46" t="s">
        <v>72</v>
      </c>
      <c r="B46" s="2">
        <v>45811</v>
      </c>
      <c r="C46" t="s">
        <v>9</v>
      </c>
      <c r="D46" t="s">
        <v>25</v>
      </c>
      <c r="E46" t="s">
        <v>26</v>
      </c>
      <c r="F46" s="1">
        <v>9</v>
      </c>
      <c r="G46" s="1">
        <v>530.97</v>
      </c>
      <c r="H46" s="1">
        <v>159.62</v>
      </c>
    </row>
    <row r="47" spans="1:8" x14ac:dyDescent="0.25">
      <c r="A47" t="s">
        <v>73</v>
      </c>
      <c r="B47" s="2">
        <v>45737</v>
      </c>
      <c r="C47" t="s">
        <v>22</v>
      </c>
      <c r="D47" t="s">
        <v>55</v>
      </c>
      <c r="E47" t="s">
        <v>17</v>
      </c>
      <c r="F47" s="1">
        <v>2</v>
      </c>
      <c r="G47" s="1">
        <v>2146.34</v>
      </c>
      <c r="H47" s="1">
        <v>601.95000000000005</v>
      </c>
    </row>
    <row r="48" spans="1:8" x14ac:dyDescent="0.25">
      <c r="A48" t="s">
        <v>74</v>
      </c>
      <c r="B48" s="2">
        <v>45982</v>
      </c>
      <c r="C48" t="s">
        <v>22</v>
      </c>
      <c r="D48" t="s">
        <v>25</v>
      </c>
      <c r="E48" t="s">
        <v>26</v>
      </c>
      <c r="F48" s="1">
        <v>4</v>
      </c>
      <c r="G48" s="1">
        <v>3501.02</v>
      </c>
      <c r="H48" s="1">
        <v>472.54</v>
      </c>
    </row>
    <row r="49" spans="1:8" x14ac:dyDescent="0.25">
      <c r="A49" t="s">
        <v>75</v>
      </c>
      <c r="B49" s="2">
        <v>45799</v>
      </c>
      <c r="C49" t="s">
        <v>9</v>
      </c>
      <c r="D49" t="s">
        <v>57</v>
      </c>
      <c r="E49" t="s">
        <v>14</v>
      </c>
      <c r="F49" s="1">
        <v>1</v>
      </c>
      <c r="G49" s="1">
        <v>156.13999999999999</v>
      </c>
      <c r="H49" s="1">
        <v>30.35</v>
      </c>
    </row>
    <row r="50" spans="1:8" x14ac:dyDescent="0.25">
      <c r="A50" t="s">
        <v>76</v>
      </c>
      <c r="B50" s="2">
        <v>45884</v>
      </c>
      <c r="C50" t="s">
        <v>35</v>
      </c>
      <c r="D50" t="s">
        <v>20</v>
      </c>
      <c r="E50" t="s">
        <v>11</v>
      </c>
      <c r="F50" s="1">
        <v>3</v>
      </c>
      <c r="G50" s="1">
        <v>2348.04</v>
      </c>
      <c r="H50" s="1">
        <v>353.92</v>
      </c>
    </row>
    <row r="51" spans="1:8" x14ac:dyDescent="0.25">
      <c r="A51" t="s">
        <v>77</v>
      </c>
      <c r="B51" s="2">
        <v>45734</v>
      </c>
      <c r="C51" t="s">
        <v>9</v>
      </c>
      <c r="D51" t="s">
        <v>10</v>
      </c>
      <c r="E51" t="s">
        <v>11</v>
      </c>
      <c r="F51" s="1">
        <v>2</v>
      </c>
      <c r="G51" s="1">
        <v>2273.62</v>
      </c>
      <c r="H51" s="1">
        <v>606.09</v>
      </c>
    </row>
    <row r="52" spans="1:8" x14ac:dyDescent="0.25">
      <c r="A52" t="s">
        <v>78</v>
      </c>
      <c r="B52" s="2">
        <v>45815</v>
      </c>
      <c r="C52" t="s">
        <v>22</v>
      </c>
      <c r="D52" t="s">
        <v>25</v>
      </c>
      <c r="E52" t="s">
        <v>26</v>
      </c>
      <c r="F52" s="1">
        <v>9</v>
      </c>
      <c r="G52" s="1">
        <v>1982.77</v>
      </c>
      <c r="H52" s="1">
        <v>226.85</v>
      </c>
    </row>
    <row r="53" spans="1:8" x14ac:dyDescent="0.25">
      <c r="A53" t="s">
        <v>79</v>
      </c>
      <c r="B53" s="2">
        <v>45839</v>
      </c>
      <c r="C53" t="s">
        <v>35</v>
      </c>
      <c r="D53" t="s">
        <v>20</v>
      </c>
      <c r="E53" t="s">
        <v>11</v>
      </c>
      <c r="F53" s="1">
        <v>4</v>
      </c>
      <c r="G53" s="1">
        <v>3337.51</v>
      </c>
      <c r="H53" s="1">
        <v>867.99</v>
      </c>
    </row>
    <row r="54" spans="1:8" x14ac:dyDescent="0.25">
      <c r="A54" t="s">
        <v>80</v>
      </c>
      <c r="B54" s="2">
        <v>45869</v>
      </c>
      <c r="C54" t="s">
        <v>9</v>
      </c>
      <c r="D54" t="s">
        <v>48</v>
      </c>
      <c r="E54" t="s">
        <v>17</v>
      </c>
      <c r="F54" s="1">
        <v>3</v>
      </c>
      <c r="G54" s="1">
        <v>3517.91</v>
      </c>
      <c r="H54" s="1">
        <v>1051.53</v>
      </c>
    </row>
    <row r="55" spans="1:8" x14ac:dyDescent="0.25">
      <c r="A55" t="s">
        <v>81</v>
      </c>
      <c r="B55" s="2">
        <v>46000</v>
      </c>
      <c r="C55" t="s">
        <v>28</v>
      </c>
      <c r="D55" t="s">
        <v>16</v>
      </c>
      <c r="E55" t="s">
        <v>17</v>
      </c>
      <c r="F55" s="1">
        <v>6</v>
      </c>
      <c r="G55" s="1">
        <v>5698.47</v>
      </c>
      <c r="H55" s="1">
        <v>1089.33</v>
      </c>
    </row>
    <row r="56" spans="1:8" x14ac:dyDescent="0.25">
      <c r="A56" t="s">
        <v>82</v>
      </c>
      <c r="B56" s="2">
        <v>45898</v>
      </c>
      <c r="C56" t="s">
        <v>28</v>
      </c>
      <c r="D56" t="s">
        <v>33</v>
      </c>
      <c r="E56" t="s">
        <v>26</v>
      </c>
      <c r="F56" s="1">
        <v>2</v>
      </c>
      <c r="G56" s="1">
        <v>979.85</v>
      </c>
      <c r="H56" s="1">
        <v>88.63</v>
      </c>
    </row>
    <row r="57" spans="1:8" x14ac:dyDescent="0.25">
      <c r="A57" t="s">
        <v>83</v>
      </c>
      <c r="B57" s="2">
        <v>45774</v>
      </c>
      <c r="C57" t="s">
        <v>28</v>
      </c>
      <c r="D57" t="s">
        <v>55</v>
      </c>
      <c r="E57" t="s">
        <v>17</v>
      </c>
      <c r="F57" s="1">
        <v>6</v>
      </c>
      <c r="G57" s="1">
        <v>2405.8200000000002</v>
      </c>
      <c r="H57" s="1">
        <v>709.1</v>
      </c>
    </row>
    <row r="58" spans="1:8" x14ac:dyDescent="0.25">
      <c r="A58" t="s">
        <v>84</v>
      </c>
      <c r="B58" s="2">
        <v>45693</v>
      </c>
      <c r="C58" t="s">
        <v>22</v>
      </c>
      <c r="D58" t="s">
        <v>41</v>
      </c>
      <c r="E58" t="s">
        <v>11</v>
      </c>
      <c r="F58" s="1">
        <v>4</v>
      </c>
      <c r="G58" s="1">
        <v>2032.94</v>
      </c>
      <c r="H58" s="1">
        <v>315.56</v>
      </c>
    </row>
    <row r="59" spans="1:8" x14ac:dyDescent="0.25">
      <c r="A59" t="s">
        <v>85</v>
      </c>
      <c r="B59" s="2">
        <v>45932</v>
      </c>
      <c r="C59" t="s">
        <v>22</v>
      </c>
      <c r="D59" t="s">
        <v>25</v>
      </c>
      <c r="E59" t="s">
        <v>26</v>
      </c>
      <c r="F59" s="1">
        <v>9</v>
      </c>
      <c r="G59" s="1">
        <v>4586.67</v>
      </c>
      <c r="H59" s="1">
        <v>1581.99</v>
      </c>
    </row>
    <row r="60" spans="1:8" x14ac:dyDescent="0.25">
      <c r="A60" t="s">
        <v>86</v>
      </c>
      <c r="B60" s="2">
        <v>45793</v>
      </c>
      <c r="C60" t="s">
        <v>9</v>
      </c>
      <c r="D60" t="s">
        <v>10</v>
      </c>
      <c r="E60" t="s">
        <v>11</v>
      </c>
      <c r="F60" s="1">
        <v>5</v>
      </c>
      <c r="G60" s="1">
        <v>1276.76</v>
      </c>
      <c r="H60" s="1">
        <v>433.95</v>
      </c>
    </row>
    <row r="61" spans="1:8" x14ac:dyDescent="0.25">
      <c r="A61" t="s">
        <v>87</v>
      </c>
      <c r="B61" s="2">
        <v>45881</v>
      </c>
      <c r="C61" t="s">
        <v>9</v>
      </c>
      <c r="D61" t="s">
        <v>41</v>
      </c>
      <c r="E61" t="s">
        <v>11</v>
      </c>
      <c r="F61" s="1">
        <v>7</v>
      </c>
      <c r="G61" s="1">
        <v>3132.78</v>
      </c>
      <c r="H61" s="1">
        <v>915.82</v>
      </c>
    </row>
    <row r="62" spans="1:8" x14ac:dyDescent="0.25">
      <c r="A62" t="s">
        <v>88</v>
      </c>
      <c r="B62" s="2">
        <v>45658</v>
      </c>
      <c r="C62" t="s">
        <v>28</v>
      </c>
      <c r="D62" t="s">
        <v>23</v>
      </c>
      <c r="E62" t="s">
        <v>14</v>
      </c>
      <c r="F62" s="1">
        <v>4</v>
      </c>
      <c r="G62" s="1">
        <v>1371.72</v>
      </c>
      <c r="H62" s="1">
        <v>372.25</v>
      </c>
    </row>
    <row r="63" spans="1:8" x14ac:dyDescent="0.25">
      <c r="A63" t="s">
        <v>89</v>
      </c>
      <c r="B63" s="2">
        <v>45977</v>
      </c>
      <c r="C63" t="s">
        <v>22</v>
      </c>
      <c r="D63" t="s">
        <v>30</v>
      </c>
      <c r="E63" t="s">
        <v>26</v>
      </c>
      <c r="F63" s="1">
        <v>2</v>
      </c>
      <c r="G63" s="1">
        <v>2282.41</v>
      </c>
      <c r="H63" s="1">
        <v>750.02</v>
      </c>
    </row>
    <row r="64" spans="1:8" x14ac:dyDescent="0.25">
      <c r="A64" t="s">
        <v>90</v>
      </c>
      <c r="B64" s="2">
        <v>45825</v>
      </c>
      <c r="C64" t="s">
        <v>35</v>
      </c>
      <c r="D64" t="s">
        <v>41</v>
      </c>
      <c r="E64" t="s">
        <v>11</v>
      </c>
      <c r="F64" s="1">
        <v>5</v>
      </c>
      <c r="G64" s="1">
        <v>3165.95</v>
      </c>
      <c r="H64" s="1">
        <v>823.34</v>
      </c>
    </row>
    <row r="65" spans="1:8" x14ac:dyDescent="0.25">
      <c r="A65" t="s">
        <v>91</v>
      </c>
      <c r="B65" s="2">
        <v>45852</v>
      </c>
      <c r="C65" t="s">
        <v>28</v>
      </c>
      <c r="D65" t="s">
        <v>25</v>
      </c>
      <c r="E65" t="s">
        <v>26</v>
      </c>
      <c r="F65" s="1">
        <v>3</v>
      </c>
      <c r="G65" s="1">
        <v>811.85</v>
      </c>
      <c r="H65" s="1">
        <v>210.7</v>
      </c>
    </row>
    <row r="66" spans="1:8" x14ac:dyDescent="0.25">
      <c r="A66" t="s">
        <v>92</v>
      </c>
      <c r="B66" s="2">
        <v>45765</v>
      </c>
      <c r="C66" t="s">
        <v>35</v>
      </c>
      <c r="D66" t="s">
        <v>30</v>
      </c>
      <c r="E66" t="s">
        <v>26</v>
      </c>
      <c r="F66" s="1">
        <v>9</v>
      </c>
      <c r="G66" s="1">
        <v>9079.06</v>
      </c>
      <c r="H66" s="1">
        <v>1471.23</v>
      </c>
    </row>
    <row r="67" spans="1:8" x14ac:dyDescent="0.25">
      <c r="A67" t="s">
        <v>93</v>
      </c>
      <c r="B67" s="2">
        <v>45900</v>
      </c>
      <c r="C67" t="s">
        <v>28</v>
      </c>
      <c r="D67" t="s">
        <v>30</v>
      </c>
      <c r="E67" t="s">
        <v>26</v>
      </c>
      <c r="F67" s="1">
        <v>8</v>
      </c>
      <c r="G67" s="1">
        <v>4467.87</v>
      </c>
      <c r="H67" s="1">
        <v>615.22</v>
      </c>
    </row>
    <row r="68" spans="1:8" x14ac:dyDescent="0.25">
      <c r="A68" t="s">
        <v>94</v>
      </c>
      <c r="B68" s="2">
        <v>45705</v>
      </c>
      <c r="C68" t="s">
        <v>28</v>
      </c>
      <c r="D68" t="s">
        <v>20</v>
      </c>
      <c r="E68" t="s">
        <v>11</v>
      </c>
      <c r="F68" s="1">
        <v>9</v>
      </c>
      <c r="G68" s="1">
        <v>7320.89</v>
      </c>
      <c r="H68" s="1">
        <v>1809.73</v>
      </c>
    </row>
    <row r="69" spans="1:8" x14ac:dyDescent="0.25">
      <c r="A69" t="s">
        <v>95</v>
      </c>
      <c r="B69" s="2">
        <v>45901</v>
      </c>
      <c r="C69" t="s">
        <v>9</v>
      </c>
      <c r="D69" t="s">
        <v>33</v>
      </c>
      <c r="E69" t="s">
        <v>26</v>
      </c>
      <c r="F69" s="1">
        <v>4</v>
      </c>
      <c r="G69" s="1">
        <v>877.83</v>
      </c>
      <c r="H69" s="1">
        <v>81.180000000000007</v>
      </c>
    </row>
    <row r="70" spans="1:8" x14ac:dyDescent="0.25">
      <c r="A70" t="s">
        <v>96</v>
      </c>
      <c r="B70" s="2">
        <v>45911</v>
      </c>
      <c r="C70" t="s">
        <v>35</v>
      </c>
      <c r="D70" t="s">
        <v>57</v>
      </c>
      <c r="E70" t="s">
        <v>14</v>
      </c>
      <c r="F70" s="1">
        <v>10</v>
      </c>
      <c r="G70" s="1">
        <v>2736.01</v>
      </c>
      <c r="H70" s="1">
        <v>733.29</v>
      </c>
    </row>
    <row r="71" spans="1:8" x14ac:dyDescent="0.25">
      <c r="A71" t="s">
        <v>97</v>
      </c>
      <c r="B71" s="2">
        <v>45712</v>
      </c>
      <c r="C71" t="s">
        <v>35</v>
      </c>
      <c r="D71" t="s">
        <v>48</v>
      </c>
      <c r="E71" t="s">
        <v>17</v>
      </c>
      <c r="F71" s="1">
        <v>1</v>
      </c>
      <c r="G71" s="1">
        <v>1076.56</v>
      </c>
      <c r="H71" s="1">
        <v>336.23</v>
      </c>
    </row>
    <row r="72" spans="1:8" x14ac:dyDescent="0.25">
      <c r="A72" t="s">
        <v>98</v>
      </c>
      <c r="B72" s="2">
        <v>45720</v>
      </c>
      <c r="C72" t="s">
        <v>35</v>
      </c>
      <c r="D72" t="s">
        <v>48</v>
      </c>
      <c r="E72" t="s">
        <v>17</v>
      </c>
      <c r="F72" s="1">
        <v>9</v>
      </c>
      <c r="G72" s="1">
        <v>5258.09</v>
      </c>
      <c r="H72" s="1">
        <v>1211.99</v>
      </c>
    </row>
    <row r="73" spans="1:8" x14ac:dyDescent="0.25">
      <c r="A73" t="s">
        <v>99</v>
      </c>
      <c r="B73" s="2">
        <v>45884</v>
      </c>
      <c r="C73" t="s">
        <v>35</v>
      </c>
      <c r="D73" t="s">
        <v>55</v>
      </c>
      <c r="E73" t="s">
        <v>17</v>
      </c>
      <c r="F73" s="1">
        <v>9</v>
      </c>
      <c r="G73" s="1">
        <v>10674.69</v>
      </c>
      <c r="H73" s="1">
        <v>2570.17</v>
      </c>
    </row>
    <row r="74" spans="1:8" x14ac:dyDescent="0.25">
      <c r="A74" t="s">
        <v>100</v>
      </c>
      <c r="B74" s="2">
        <v>45984</v>
      </c>
      <c r="C74" t="s">
        <v>22</v>
      </c>
      <c r="D74" t="s">
        <v>13</v>
      </c>
      <c r="E74" t="s">
        <v>14</v>
      </c>
      <c r="F74" s="1">
        <v>8</v>
      </c>
      <c r="G74" s="1">
        <v>4540.6400000000003</v>
      </c>
      <c r="H74" s="1">
        <v>1284.9100000000001</v>
      </c>
    </row>
    <row r="75" spans="1:8" x14ac:dyDescent="0.25">
      <c r="A75" t="s">
        <v>101</v>
      </c>
      <c r="B75" s="2">
        <v>45804</v>
      </c>
      <c r="C75" t="s">
        <v>28</v>
      </c>
      <c r="D75" t="s">
        <v>23</v>
      </c>
      <c r="E75" t="s">
        <v>14</v>
      </c>
      <c r="F75" s="1">
        <v>4</v>
      </c>
      <c r="G75" s="1">
        <v>1463.15</v>
      </c>
      <c r="H75" s="1">
        <v>147.66</v>
      </c>
    </row>
    <row r="76" spans="1:8" x14ac:dyDescent="0.25">
      <c r="A76" t="s">
        <v>102</v>
      </c>
      <c r="B76" s="2">
        <v>45735</v>
      </c>
      <c r="C76" t="s">
        <v>28</v>
      </c>
      <c r="D76" t="s">
        <v>30</v>
      </c>
      <c r="E76" t="s">
        <v>26</v>
      </c>
      <c r="F76" s="1">
        <v>6</v>
      </c>
      <c r="G76" s="1">
        <v>6461.89</v>
      </c>
      <c r="H76" s="1">
        <v>657.54</v>
      </c>
    </row>
    <row r="77" spans="1:8" x14ac:dyDescent="0.25">
      <c r="A77" t="s">
        <v>103</v>
      </c>
      <c r="B77" s="2">
        <v>45866</v>
      </c>
      <c r="C77" t="s">
        <v>22</v>
      </c>
      <c r="D77" t="s">
        <v>23</v>
      </c>
      <c r="E77" t="s">
        <v>14</v>
      </c>
      <c r="F77" s="1">
        <v>3</v>
      </c>
      <c r="G77" s="1">
        <v>2587.15</v>
      </c>
      <c r="H77" s="1">
        <v>251.84</v>
      </c>
    </row>
    <row r="78" spans="1:8" x14ac:dyDescent="0.25">
      <c r="A78" t="s">
        <v>104</v>
      </c>
      <c r="B78" s="2">
        <v>45957</v>
      </c>
      <c r="C78" t="s">
        <v>9</v>
      </c>
      <c r="D78" t="s">
        <v>57</v>
      </c>
      <c r="E78" t="s">
        <v>14</v>
      </c>
      <c r="F78" s="1">
        <v>1</v>
      </c>
      <c r="G78" s="1">
        <v>287.86</v>
      </c>
      <c r="H78" s="1">
        <v>55.68</v>
      </c>
    </row>
    <row r="79" spans="1:8" x14ac:dyDescent="0.25">
      <c r="A79" t="s">
        <v>105</v>
      </c>
      <c r="B79" s="2">
        <v>45857</v>
      </c>
      <c r="C79" t="s">
        <v>35</v>
      </c>
      <c r="D79" t="s">
        <v>57</v>
      </c>
      <c r="E79" t="s">
        <v>14</v>
      </c>
      <c r="F79" s="1">
        <v>1</v>
      </c>
      <c r="G79" s="1">
        <v>1134.1500000000001</v>
      </c>
      <c r="H79" s="1">
        <v>182.17</v>
      </c>
    </row>
    <row r="80" spans="1:8" x14ac:dyDescent="0.25">
      <c r="A80" t="s">
        <v>106</v>
      </c>
      <c r="B80" s="2">
        <v>45857</v>
      </c>
      <c r="C80" t="s">
        <v>22</v>
      </c>
      <c r="D80" t="s">
        <v>55</v>
      </c>
      <c r="E80" t="s">
        <v>17</v>
      </c>
      <c r="F80" s="1">
        <v>4</v>
      </c>
      <c r="G80" s="1">
        <v>1455.5</v>
      </c>
      <c r="H80" s="1">
        <v>307.29000000000002</v>
      </c>
    </row>
    <row r="81" spans="1:8" x14ac:dyDescent="0.25">
      <c r="A81" t="s">
        <v>107</v>
      </c>
      <c r="B81" s="2">
        <v>45976</v>
      </c>
      <c r="C81" t="s">
        <v>9</v>
      </c>
      <c r="D81" t="s">
        <v>23</v>
      </c>
      <c r="E81" t="s">
        <v>14</v>
      </c>
      <c r="F81" s="1">
        <v>3</v>
      </c>
      <c r="G81" s="1">
        <v>3049.74</v>
      </c>
      <c r="H81" s="1">
        <v>1001.16</v>
      </c>
    </row>
    <row r="82" spans="1:8" x14ac:dyDescent="0.25">
      <c r="A82" t="s">
        <v>108</v>
      </c>
      <c r="B82" s="2">
        <v>45877</v>
      </c>
      <c r="C82" t="s">
        <v>28</v>
      </c>
      <c r="D82" t="s">
        <v>23</v>
      </c>
      <c r="E82" t="s">
        <v>14</v>
      </c>
      <c r="F82" s="1">
        <v>10</v>
      </c>
      <c r="G82" s="1">
        <v>8124.5</v>
      </c>
      <c r="H82" s="1">
        <v>834.11</v>
      </c>
    </row>
    <row r="83" spans="1:8" x14ac:dyDescent="0.25">
      <c r="A83" t="s">
        <v>109</v>
      </c>
      <c r="B83" s="2">
        <v>45890</v>
      </c>
      <c r="C83" t="s">
        <v>22</v>
      </c>
      <c r="D83" t="s">
        <v>13</v>
      </c>
      <c r="E83" t="s">
        <v>14</v>
      </c>
      <c r="F83" s="1">
        <v>1</v>
      </c>
      <c r="G83" s="1">
        <v>349.18</v>
      </c>
      <c r="H83" s="1">
        <v>58.8</v>
      </c>
    </row>
    <row r="84" spans="1:8" x14ac:dyDescent="0.25">
      <c r="A84" t="s">
        <v>110</v>
      </c>
      <c r="B84" s="2">
        <v>45787</v>
      </c>
      <c r="C84" t="s">
        <v>9</v>
      </c>
      <c r="D84" t="s">
        <v>30</v>
      </c>
      <c r="E84" t="s">
        <v>26</v>
      </c>
      <c r="F84" s="1">
        <v>5</v>
      </c>
      <c r="G84" s="1">
        <v>4574.0600000000004</v>
      </c>
      <c r="H84" s="1">
        <v>1393.35</v>
      </c>
    </row>
    <row r="85" spans="1:8" x14ac:dyDescent="0.25">
      <c r="A85" t="s">
        <v>111</v>
      </c>
      <c r="B85" s="2">
        <v>45772</v>
      </c>
      <c r="C85" t="s">
        <v>9</v>
      </c>
      <c r="D85" t="s">
        <v>13</v>
      </c>
      <c r="E85" t="s">
        <v>14</v>
      </c>
      <c r="F85" s="1">
        <v>9</v>
      </c>
      <c r="G85" s="1">
        <v>989.09</v>
      </c>
      <c r="H85" s="1">
        <v>333.34</v>
      </c>
    </row>
    <row r="86" spans="1:8" x14ac:dyDescent="0.25">
      <c r="A86" t="s">
        <v>112</v>
      </c>
      <c r="B86" s="2">
        <v>45736</v>
      </c>
      <c r="C86" t="s">
        <v>28</v>
      </c>
      <c r="D86" t="s">
        <v>10</v>
      </c>
      <c r="E86" t="s">
        <v>11</v>
      </c>
      <c r="F86" s="1">
        <v>4</v>
      </c>
      <c r="G86" s="1">
        <v>1117.06</v>
      </c>
      <c r="H86" s="1">
        <v>95.51</v>
      </c>
    </row>
    <row r="87" spans="1:8" x14ac:dyDescent="0.25">
      <c r="A87" t="s">
        <v>113</v>
      </c>
      <c r="B87" s="2">
        <v>46016</v>
      </c>
      <c r="C87" t="s">
        <v>22</v>
      </c>
      <c r="D87" t="s">
        <v>55</v>
      </c>
      <c r="E87" t="s">
        <v>17</v>
      </c>
      <c r="F87" s="1">
        <v>2</v>
      </c>
      <c r="G87" s="1">
        <v>1397.13</v>
      </c>
      <c r="H87" s="1">
        <v>193.99</v>
      </c>
    </row>
    <row r="88" spans="1:8" x14ac:dyDescent="0.25">
      <c r="A88" t="s">
        <v>114</v>
      </c>
      <c r="B88" s="2">
        <v>45716</v>
      </c>
      <c r="C88" t="s">
        <v>28</v>
      </c>
      <c r="D88" t="s">
        <v>33</v>
      </c>
      <c r="E88" t="s">
        <v>26</v>
      </c>
      <c r="F88" s="1">
        <v>10</v>
      </c>
      <c r="G88" s="1">
        <v>7483.35</v>
      </c>
      <c r="H88" s="1">
        <v>2109.86</v>
      </c>
    </row>
    <row r="89" spans="1:8" x14ac:dyDescent="0.25">
      <c r="A89" t="s">
        <v>115</v>
      </c>
      <c r="B89" s="2">
        <v>46004</v>
      </c>
      <c r="C89" t="s">
        <v>35</v>
      </c>
      <c r="D89" t="s">
        <v>33</v>
      </c>
      <c r="E89" t="s">
        <v>26</v>
      </c>
      <c r="F89" s="1">
        <v>10</v>
      </c>
      <c r="G89" s="1">
        <v>795.3</v>
      </c>
      <c r="H89" s="1">
        <v>130.61000000000001</v>
      </c>
    </row>
    <row r="90" spans="1:8" x14ac:dyDescent="0.25">
      <c r="A90" t="s">
        <v>116</v>
      </c>
      <c r="B90" s="2">
        <v>45979</v>
      </c>
      <c r="C90" t="s">
        <v>28</v>
      </c>
      <c r="D90" t="s">
        <v>23</v>
      </c>
      <c r="E90" t="s">
        <v>14</v>
      </c>
      <c r="F90" s="1">
        <v>4</v>
      </c>
      <c r="G90" s="1">
        <v>549.58000000000004</v>
      </c>
      <c r="H90" s="1">
        <v>146.44</v>
      </c>
    </row>
    <row r="91" spans="1:8" x14ac:dyDescent="0.25">
      <c r="A91" t="s">
        <v>117</v>
      </c>
      <c r="B91" s="2">
        <v>45719</v>
      </c>
      <c r="C91" t="s">
        <v>9</v>
      </c>
      <c r="D91" t="s">
        <v>41</v>
      </c>
      <c r="E91" t="s">
        <v>11</v>
      </c>
      <c r="F91" s="1">
        <v>5</v>
      </c>
      <c r="G91" s="1">
        <v>5139.1899999999996</v>
      </c>
      <c r="H91" s="1">
        <v>1244.26</v>
      </c>
    </row>
    <row r="92" spans="1:8" x14ac:dyDescent="0.25">
      <c r="A92" t="s">
        <v>118</v>
      </c>
      <c r="B92" s="2">
        <v>45989</v>
      </c>
      <c r="C92" t="s">
        <v>22</v>
      </c>
      <c r="D92" t="s">
        <v>25</v>
      </c>
      <c r="E92" t="s">
        <v>26</v>
      </c>
      <c r="F92" s="1">
        <v>7</v>
      </c>
      <c r="G92" s="1">
        <v>5675.25</v>
      </c>
      <c r="H92" s="1">
        <v>559.67999999999995</v>
      </c>
    </row>
    <row r="93" spans="1:8" x14ac:dyDescent="0.25">
      <c r="A93" t="s">
        <v>119</v>
      </c>
      <c r="B93" s="2">
        <v>45983</v>
      </c>
      <c r="C93" t="s">
        <v>35</v>
      </c>
      <c r="D93" t="s">
        <v>20</v>
      </c>
      <c r="E93" t="s">
        <v>11</v>
      </c>
      <c r="F93" s="1">
        <v>8</v>
      </c>
      <c r="G93" s="1">
        <v>1370.96</v>
      </c>
      <c r="H93" s="1">
        <v>465.32</v>
      </c>
    </row>
    <row r="94" spans="1:8" x14ac:dyDescent="0.25">
      <c r="A94" t="s">
        <v>120</v>
      </c>
      <c r="B94" s="2">
        <v>45796</v>
      </c>
      <c r="C94" t="s">
        <v>35</v>
      </c>
      <c r="D94" t="s">
        <v>55</v>
      </c>
      <c r="E94" t="s">
        <v>17</v>
      </c>
      <c r="F94" s="1">
        <v>3</v>
      </c>
      <c r="G94" s="1">
        <v>2681.59</v>
      </c>
      <c r="H94" s="1">
        <v>913.56</v>
      </c>
    </row>
    <row r="95" spans="1:8" x14ac:dyDescent="0.25">
      <c r="A95" t="s">
        <v>121</v>
      </c>
      <c r="B95" s="2">
        <v>45702</v>
      </c>
      <c r="C95" t="s">
        <v>22</v>
      </c>
      <c r="D95" t="s">
        <v>57</v>
      </c>
      <c r="E95" t="s">
        <v>14</v>
      </c>
      <c r="F95" s="1">
        <v>10</v>
      </c>
      <c r="G95" s="1">
        <v>3586.55</v>
      </c>
      <c r="H95" s="1">
        <v>1111.7</v>
      </c>
    </row>
    <row r="96" spans="1:8" x14ac:dyDescent="0.25">
      <c r="A96" t="s">
        <v>122</v>
      </c>
      <c r="B96" s="2">
        <v>45830</v>
      </c>
      <c r="C96" t="s">
        <v>9</v>
      </c>
      <c r="D96" t="s">
        <v>13</v>
      </c>
      <c r="E96" t="s">
        <v>14</v>
      </c>
      <c r="F96" s="1">
        <v>8</v>
      </c>
      <c r="G96" s="1">
        <v>5642.62</v>
      </c>
      <c r="H96" s="1">
        <v>1469.4</v>
      </c>
    </row>
    <row r="97" spans="1:8" x14ac:dyDescent="0.25">
      <c r="A97" t="s">
        <v>123</v>
      </c>
      <c r="B97" s="2">
        <v>45790</v>
      </c>
      <c r="C97" t="s">
        <v>22</v>
      </c>
      <c r="D97" t="s">
        <v>57</v>
      </c>
      <c r="E97" t="s">
        <v>14</v>
      </c>
      <c r="F97" s="1">
        <v>3</v>
      </c>
      <c r="G97" s="1">
        <v>1832.05</v>
      </c>
      <c r="H97" s="1">
        <v>322.08</v>
      </c>
    </row>
    <row r="98" spans="1:8" x14ac:dyDescent="0.25">
      <c r="A98" t="s">
        <v>124</v>
      </c>
      <c r="B98" s="2">
        <v>45755</v>
      </c>
      <c r="C98" t="s">
        <v>9</v>
      </c>
      <c r="D98" t="s">
        <v>25</v>
      </c>
      <c r="E98" t="s">
        <v>26</v>
      </c>
      <c r="F98" s="1">
        <v>5</v>
      </c>
      <c r="G98" s="1">
        <v>3445.8</v>
      </c>
      <c r="H98" s="1">
        <v>756.32</v>
      </c>
    </row>
    <row r="99" spans="1:8" x14ac:dyDescent="0.25">
      <c r="A99" t="s">
        <v>125</v>
      </c>
      <c r="B99" s="2">
        <v>46011</v>
      </c>
      <c r="C99" t="s">
        <v>35</v>
      </c>
      <c r="D99" t="s">
        <v>16</v>
      </c>
      <c r="E99" t="s">
        <v>17</v>
      </c>
      <c r="F99" s="1">
        <v>7</v>
      </c>
      <c r="G99" s="1">
        <v>4283.05</v>
      </c>
      <c r="H99" s="1">
        <v>1219.4000000000001</v>
      </c>
    </row>
    <row r="100" spans="1:8" x14ac:dyDescent="0.25">
      <c r="A100" t="s">
        <v>126</v>
      </c>
      <c r="B100" s="2">
        <v>46012</v>
      </c>
      <c r="C100" t="s">
        <v>28</v>
      </c>
      <c r="D100" t="s">
        <v>57</v>
      </c>
      <c r="E100" t="s">
        <v>14</v>
      </c>
      <c r="F100" s="1">
        <v>1</v>
      </c>
      <c r="G100" s="1">
        <v>157.01</v>
      </c>
      <c r="H100" s="1">
        <v>21.95</v>
      </c>
    </row>
    <row r="101" spans="1:8" x14ac:dyDescent="0.25">
      <c r="A101" t="s">
        <v>127</v>
      </c>
      <c r="B101" s="2">
        <v>45834</v>
      </c>
      <c r="C101" t="s">
        <v>35</v>
      </c>
      <c r="D101" t="s">
        <v>25</v>
      </c>
      <c r="E101" t="s">
        <v>26</v>
      </c>
      <c r="F101" s="1">
        <v>10</v>
      </c>
      <c r="G101" s="1">
        <v>4743.74</v>
      </c>
      <c r="H101" s="1">
        <v>1088.3900000000001</v>
      </c>
    </row>
    <row r="102" spans="1:8" x14ac:dyDescent="0.25">
      <c r="A102" t="s">
        <v>128</v>
      </c>
      <c r="B102" s="2">
        <v>45719</v>
      </c>
      <c r="C102" t="s">
        <v>28</v>
      </c>
      <c r="D102" t="s">
        <v>30</v>
      </c>
      <c r="E102" t="s">
        <v>26</v>
      </c>
      <c r="F102" s="1">
        <v>8</v>
      </c>
      <c r="G102" s="1">
        <v>2892.43</v>
      </c>
      <c r="H102" s="1">
        <v>427.73</v>
      </c>
    </row>
    <row r="103" spans="1:8" x14ac:dyDescent="0.25">
      <c r="A103" t="s">
        <v>129</v>
      </c>
      <c r="B103" s="2">
        <v>45756</v>
      </c>
      <c r="C103" t="s">
        <v>28</v>
      </c>
      <c r="D103" t="s">
        <v>33</v>
      </c>
      <c r="E103" t="s">
        <v>26</v>
      </c>
      <c r="F103" s="1">
        <v>9</v>
      </c>
      <c r="G103" s="1">
        <v>10291.58</v>
      </c>
      <c r="H103" s="1">
        <v>2741.1</v>
      </c>
    </row>
    <row r="104" spans="1:8" x14ac:dyDescent="0.25">
      <c r="A104" t="s">
        <v>130</v>
      </c>
      <c r="B104" s="2">
        <v>45802</v>
      </c>
      <c r="C104" t="s">
        <v>9</v>
      </c>
      <c r="D104" t="s">
        <v>57</v>
      </c>
      <c r="E104" t="s">
        <v>14</v>
      </c>
      <c r="F104" s="1">
        <v>10</v>
      </c>
      <c r="G104" s="1">
        <v>11730.98</v>
      </c>
      <c r="H104" s="1">
        <v>2600.19</v>
      </c>
    </row>
    <row r="105" spans="1:8" x14ac:dyDescent="0.25">
      <c r="A105" t="s">
        <v>131</v>
      </c>
      <c r="B105" s="2">
        <v>46020</v>
      </c>
      <c r="C105" t="s">
        <v>28</v>
      </c>
      <c r="D105" t="s">
        <v>55</v>
      </c>
      <c r="E105" t="s">
        <v>17</v>
      </c>
      <c r="F105" s="1">
        <v>4</v>
      </c>
      <c r="G105" s="1">
        <v>1860.05</v>
      </c>
      <c r="H105" s="1">
        <v>300.61</v>
      </c>
    </row>
    <row r="106" spans="1:8" x14ac:dyDescent="0.25">
      <c r="A106" t="s">
        <v>132</v>
      </c>
      <c r="B106" s="2">
        <v>45722</v>
      </c>
      <c r="C106" t="s">
        <v>35</v>
      </c>
      <c r="D106" t="s">
        <v>33</v>
      </c>
      <c r="E106" t="s">
        <v>26</v>
      </c>
      <c r="F106" s="1">
        <v>1</v>
      </c>
      <c r="G106" s="1">
        <v>686.36</v>
      </c>
      <c r="H106" s="1">
        <v>184.15</v>
      </c>
    </row>
    <row r="107" spans="1:8" x14ac:dyDescent="0.25">
      <c r="A107" t="s">
        <v>133</v>
      </c>
      <c r="B107" s="2">
        <v>45832</v>
      </c>
      <c r="C107" t="s">
        <v>28</v>
      </c>
      <c r="D107" t="s">
        <v>10</v>
      </c>
      <c r="E107" t="s">
        <v>11</v>
      </c>
      <c r="F107" s="1">
        <v>10</v>
      </c>
      <c r="G107" s="1">
        <v>3769.9</v>
      </c>
      <c r="H107" s="1">
        <v>788.86</v>
      </c>
    </row>
    <row r="108" spans="1:8" x14ac:dyDescent="0.25">
      <c r="A108" t="s">
        <v>134</v>
      </c>
      <c r="B108" s="2">
        <v>45909</v>
      </c>
      <c r="C108" t="s">
        <v>9</v>
      </c>
      <c r="D108" t="s">
        <v>20</v>
      </c>
      <c r="E108" t="s">
        <v>11</v>
      </c>
      <c r="F108" s="1">
        <v>8</v>
      </c>
      <c r="G108" s="1">
        <v>1449.6</v>
      </c>
      <c r="H108" s="1">
        <v>141.54</v>
      </c>
    </row>
    <row r="109" spans="1:8" x14ac:dyDescent="0.25">
      <c r="A109" t="s">
        <v>135</v>
      </c>
      <c r="B109" s="2">
        <v>45701</v>
      </c>
      <c r="C109" t="s">
        <v>28</v>
      </c>
      <c r="D109" t="s">
        <v>10</v>
      </c>
      <c r="E109" t="s">
        <v>11</v>
      </c>
      <c r="F109" s="1">
        <v>3</v>
      </c>
      <c r="G109" s="1">
        <v>2948.44</v>
      </c>
      <c r="H109" s="1">
        <v>991.45</v>
      </c>
    </row>
    <row r="110" spans="1:8" x14ac:dyDescent="0.25">
      <c r="A110" t="s">
        <v>136</v>
      </c>
      <c r="B110" s="2">
        <v>45773</v>
      </c>
      <c r="C110" t="s">
        <v>35</v>
      </c>
      <c r="D110" t="s">
        <v>41</v>
      </c>
      <c r="E110" t="s">
        <v>11</v>
      </c>
      <c r="F110" s="1">
        <v>7</v>
      </c>
      <c r="G110" s="1">
        <v>5230.8599999999997</v>
      </c>
      <c r="H110" s="1">
        <v>1535.26</v>
      </c>
    </row>
    <row r="111" spans="1:8" x14ac:dyDescent="0.25">
      <c r="A111" t="s">
        <v>137</v>
      </c>
      <c r="B111" s="2">
        <v>45814</v>
      </c>
      <c r="C111" t="s">
        <v>9</v>
      </c>
      <c r="D111" t="s">
        <v>57</v>
      </c>
      <c r="E111" t="s">
        <v>14</v>
      </c>
      <c r="F111" s="1">
        <v>5</v>
      </c>
      <c r="G111" s="1">
        <v>5195.96</v>
      </c>
      <c r="H111" s="1">
        <v>1804.6</v>
      </c>
    </row>
    <row r="112" spans="1:8" x14ac:dyDescent="0.25">
      <c r="A112" t="s">
        <v>138</v>
      </c>
      <c r="B112" s="2">
        <v>45780</v>
      </c>
      <c r="C112" t="s">
        <v>28</v>
      </c>
      <c r="D112" t="s">
        <v>10</v>
      </c>
      <c r="E112" t="s">
        <v>11</v>
      </c>
      <c r="F112" s="1">
        <v>4</v>
      </c>
      <c r="G112" s="1">
        <v>1417.37</v>
      </c>
      <c r="H112" s="1">
        <v>144.46</v>
      </c>
    </row>
    <row r="113" spans="1:8" x14ac:dyDescent="0.25">
      <c r="A113" t="s">
        <v>139</v>
      </c>
      <c r="B113" s="2">
        <v>45898</v>
      </c>
      <c r="C113" t="s">
        <v>22</v>
      </c>
      <c r="D113" t="s">
        <v>10</v>
      </c>
      <c r="E113" t="s">
        <v>11</v>
      </c>
      <c r="F113" s="1">
        <v>1</v>
      </c>
      <c r="G113" s="1">
        <v>519.79999999999995</v>
      </c>
      <c r="H113" s="1">
        <v>138.33000000000001</v>
      </c>
    </row>
    <row r="114" spans="1:8" x14ac:dyDescent="0.25">
      <c r="A114" t="s">
        <v>140</v>
      </c>
      <c r="B114" s="2">
        <v>45890</v>
      </c>
      <c r="C114" t="s">
        <v>9</v>
      </c>
      <c r="D114" t="s">
        <v>10</v>
      </c>
      <c r="E114" t="s">
        <v>11</v>
      </c>
      <c r="F114" s="1">
        <v>5</v>
      </c>
      <c r="G114" s="1">
        <v>4315</v>
      </c>
      <c r="H114" s="1">
        <v>1164.22</v>
      </c>
    </row>
    <row r="115" spans="1:8" x14ac:dyDescent="0.25">
      <c r="A115" t="s">
        <v>141</v>
      </c>
      <c r="B115" s="2">
        <v>45875</v>
      </c>
      <c r="C115" t="s">
        <v>9</v>
      </c>
      <c r="D115" t="s">
        <v>55</v>
      </c>
      <c r="E115" t="s">
        <v>17</v>
      </c>
      <c r="F115" s="1">
        <v>10</v>
      </c>
      <c r="G115" s="1">
        <v>8103.6</v>
      </c>
      <c r="H115" s="1">
        <v>2691.13</v>
      </c>
    </row>
    <row r="116" spans="1:8" x14ac:dyDescent="0.25">
      <c r="A116" t="s">
        <v>142</v>
      </c>
      <c r="B116" s="2">
        <v>45694</v>
      </c>
      <c r="C116" t="s">
        <v>9</v>
      </c>
      <c r="D116" t="s">
        <v>16</v>
      </c>
      <c r="E116" t="s">
        <v>17</v>
      </c>
      <c r="F116" s="1">
        <v>3</v>
      </c>
      <c r="G116" s="1">
        <v>3284.02</v>
      </c>
      <c r="H116" s="1">
        <v>995.68</v>
      </c>
    </row>
    <row r="117" spans="1:8" x14ac:dyDescent="0.25">
      <c r="A117" t="s">
        <v>143</v>
      </c>
      <c r="B117" s="2">
        <v>45805</v>
      </c>
      <c r="C117" t="s">
        <v>35</v>
      </c>
      <c r="D117" t="s">
        <v>55</v>
      </c>
      <c r="E117" t="s">
        <v>17</v>
      </c>
      <c r="F117" s="1">
        <v>10</v>
      </c>
      <c r="G117" s="1">
        <v>9113.01</v>
      </c>
      <c r="H117" s="1">
        <v>2129.58</v>
      </c>
    </row>
    <row r="118" spans="1:8" x14ac:dyDescent="0.25">
      <c r="A118" t="s">
        <v>144</v>
      </c>
      <c r="B118" s="2">
        <v>45914</v>
      </c>
      <c r="C118" t="s">
        <v>35</v>
      </c>
      <c r="D118" t="s">
        <v>20</v>
      </c>
      <c r="E118" t="s">
        <v>11</v>
      </c>
      <c r="F118" s="1">
        <v>5</v>
      </c>
      <c r="G118" s="1">
        <v>4273.47</v>
      </c>
      <c r="H118" s="1">
        <v>1429.57</v>
      </c>
    </row>
    <row r="119" spans="1:8" x14ac:dyDescent="0.25">
      <c r="A119" t="s">
        <v>145</v>
      </c>
      <c r="B119" s="2">
        <v>45823</v>
      </c>
      <c r="C119" t="s">
        <v>22</v>
      </c>
      <c r="D119" t="s">
        <v>13</v>
      </c>
      <c r="E119" t="s">
        <v>14</v>
      </c>
      <c r="F119" s="1">
        <v>10</v>
      </c>
      <c r="G119" s="1">
        <v>958.4</v>
      </c>
      <c r="H119" s="1">
        <v>188.47</v>
      </c>
    </row>
    <row r="120" spans="1:8" x14ac:dyDescent="0.25">
      <c r="A120" t="s">
        <v>146</v>
      </c>
      <c r="B120" s="2">
        <v>45952</v>
      </c>
      <c r="C120" t="s">
        <v>9</v>
      </c>
      <c r="D120" t="s">
        <v>10</v>
      </c>
      <c r="E120" t="s">
        <v>11</v>
      </c>
      <c r="F120" s="1">
        <v>4</v>
      </c>
      <c r="G120" s="1">
        <v>4624.79</v>
      </c>
      <c r="H120" s="1">
        <v>1413.84</v>
      </c>
    </row>
    <row r="121" spans="1:8" x14ac:dyDescent="0.25">
      <c r="A121" t="s">
        <v>147</v>
      </c>
      <c r="B121" s="2">
        <v>45923</v>
      </c>
      <c r="C121" t="s">
        <v>35</v>
      </c>
      <c r="D121" t="s">
        <v>25</v>
      </c>
      <c r="E121" t="s">
        <v>26</v>
      </c>
      <c r="F121" s="1">
        <v>1</v>
      </c>
      <c r="G121" s="1">
        <v>927.58</v>
      </c>
      <c r="H121" s="1">
        <v>118.08</v>
      </c>
    </row>
    <row r="122" spans="1:8" x14ac:dyDescent="0.25">
      <c r="A122" t="s">
        <v>148</v>
      </c>
      <c r="B122" s="2">
        <v>45704</v>
      </c>
      <c r="C122" t="s">
        <v>35</v>
      </c>
      <c r="D122" t="s">
        <v>33</v>
      </c>
      <c r="E122" t="s">
        <v>26</v>
      </c>
      <c r="F122" s="1">
        <v>10</v>
      </c>
      <c r="G122" s="1">
        <v>5512.68</v>
      </c>
      <c r="H122" s="1">
        <v>1652.96</v>
      </c>
    </row>
    <row r="123" spans="1:8" x14ac:dyDescent="0.25">
      <c r="A123" t="s">
        <v>149</v>
      </c>
      <c r="B123" s="2">
        <v>45740</v>
      </c>
      <c r="C123" t="s">
        <v>22</v>
      </c>
      <c r="D123" t="s">
        <v>30</v>
      </c>
      <c r="E123" t="s">
        <v>26</v>
      </c>
      <c r="F123" s="1">
        <v>6</v>
      </c>
      <c r="G123" s="1">
        <v>2515.3000000000002</v>
      </c>
      <c r="H123" s="1">
        <v>272.26</v>
      </c>
    </row>
    <row r="124" spans="1:8" x14ac:dyDescent="0.25">
      <c r="A124" t="s">
        <v>150</v>
      </c>
      <c r="B124" s="2">
        <v>45939</v>
      </c>
      <c r="C124" t="s">
        <v>9</v>
      </c>
      <c r="D124" t="s">
        <v>23</v>
      </c>
      <c r="E124" t="s">
        <v>14</v>
      </c>
      <c r="F124" s="1">
        <v>8</v>
      </c>
      <c r="G124" s="1">
        <v>3051.6</v>
      </c>
      <c r="H124" s="1">
        <v>1022.9</v>
      </c>
    </row>
    <row r="125" spans="1:8" x14ac:dyDescent="0.25">
      <c r="A125" t="s">
        <v>151</v>
      </c>
      <c r="B125" s="2">
        <v>45864</v>
      </c>
      <c r="C125" t="s">
        <v>9</v>
      </c>
      <c r="D125" t="s">
        <v>13</v>
      </c>
      <c r="E125" t="s">
        <v>14</v>
      </c>
      <c r="F125" s="1">
        <v>6</v>
      </c>
      <c r="G125" s="1">
        <v>2041.55</v>
      </c>
      <c r="H125" s="1">
        <v>227.22</v>
      </c>
    </row>
    <row r="126" spans="1:8" x14ac:dyDescent="0.25">
      <c r="A126" t="s">
        <v>152</v>
      </c>
      <c r="B126" s="2">
        <v>45913</v>
      </c>
      <c r="C126" t="s">
        <v>35</v>
      </c>
      <c r="D126" t="s">
        <v>57</v>
      </c>
      <c r="E126" t="s">
        <v>14</v>
      </c>
      <c r="F126" s="1">
        <v>1</v>
      </c>
      <c r="G126" s="1">
        <v>265.72000000000003</v>
      </c>
      <c r="H126" s="1">
        <v>47.21</v>
      </c>
    </row>
    <row r="127" spans="1:8" x14ac:dyDescent="0.25">
      <c r="A127" t="s">
        <v>153</v>
      </c>
      <c r="B127" s="2">
        <v>45882</v>
      </c>
      <c r="C127" t="s">
        <v>35</v>
      </c>
      <c r="D127" t="s">
        <v>10</v>
      </c>
      <c r="E127" t="s">
        <v>11</v>
      </c>
      <c r="F127" s="1">
        <v>5</v>
      </c>
      <c r="G127" s="1">
        <v>3408.01</v>
      </c>
      <c r="H127" s="1">
        <v>1126.25</v>
      </c>
    </row>
    <row r="128" spans="1:8" x14ac:dyDescent="0.25">
      <c r="A128" t="s">
        <v>154</v>
      </c>
      <c r="B128" s="2">
        <v>45817</v>
      </c>
      <c r="C128" t="s">
        <v>9</v>
      </c>
      <c r="D128" t="s">
        <v>10</v>
      </c>
      <c r="E128" t="s">
        <v>11</v>
      </c>
      <c r="F128" s="1">
        <v>10</v>
      </c>
      <c r="G128" s="1">
        <v>9692.11</v>
      </c>
      <c r="H128" s="1">
        <v>2632.78</v>
      </c>
    </row>
    <row r="129" spans="1:8" x14ac:dyDescent="0.25">
      <c r="A129" t="s">
        <v>155</v>
      </c>
      <c r="B129" s="2">
        <v>45894</v>
      </c>
      <c r="C129" t="s">
        <v>9</v>
      </c>
      <c r="D129" t="s">
        <v>13</v>
      </c>
      <c r="E129" t="s">
        <v>14</v>
      </c>
      <c r="F129" s="1">
        <v>4</v>
      </c>
      <c r="G129" s="1">
        <v>4764.38</v>
      </c>
      <c r="H129" s="1">
        <v>1555.53</v>
      </c>
    </row>
    <row r="130" spans="1:8" x14ac:dyDescent="0.25">
      <c r="A130" t="s">
        <v>156</v>
      </c>
      <c r="B130" s="2">
        <v>45905</v>
      </c>
      <c r="C130" t="s">
        <v>35</v>
      </c>
      <c r="D130" t="s">
        <v>55</v>
      </c>
      <c r="E130" t="s">
        <v>17</v>
      </c>
      <c r="F130" s="1">
        <v>5</v>
      </c>
      <c r="G130" s="1">
        <v>3176.01</v>
      </c>
      <c r="H130" s="1">
        <v>488.55</v>
      </c>
    </row>
    <row r="131" spans="1:8" x14ac:dyDescent="0.25">
      <c r="A131" t="s">
        <v>157</v>
      </c>
      <c r="B131" s="2">
        <v>45964</v>
      </c>
      <c r="C131" t="s">
        <v>28</v>
      </c>
      <c r="D131" t="s">
        <v>55</v>
      </c>
      <c r="E131" t="s">
        <v>17</v>
      </c>
      <c r="F131" s="1">
        <v>9</v>
      </c>
      <c r="G131" s="1">
        <v>1947.04</v>
      </c>
      <c r="H131" s="1">
        <v>255.97</v>
      </c>
    </row>
    <row r="132" spans="1:8" x14ac:dyDescent="0.25">
      <c r="A132" t="s">
        <v>158</v>
      </c>
      <c r="B132" s="2">
        <v>45794</v>
      </c>
      <c r="C132" t="s">
        <v>9</v>
      </c>
      <c r="D132" t="s">
        <v>20</v>
      </c>
      <c r="E132" t="s">
        <v>11</v>
      </c>
      <c r="F132" s="1">
        <v>7</v>
      </c>
      <c r="G132" s="1">
        <v>3086</v>
      </c>
      <c r="H132" s="1">
        <v>903.22</v>
      </c>
    </row>
    <row r="133" spans="1:8" x14ac:dyDescent="0.25">
      <c r="A133" t="s">
        <v>159</v>
      </c>
      <c r="B133" s="2">
        <v>45995</v>
      </c>
      <c r="C133" t="s">
        <v>35</v>
      </c>
      <c r="D133" t="s">
        <v>25</v>
      </c>
      <c r="E133" t="s">
        <v>26</v>
      </c>
      <c r="F133" s="1">
        <v>5</v>
      </c>
      <c r="G133" s="1">
        <v>5065.49</v>
      </c>
      <c r="H133" s="1">
        <v>1198.3900000000001</v>
      </c>
    </row>
    <row r="134" spans="1:8" x14ac:dyDescent="0.25">
      <c r="A134" t="s">
        <v>160</v>
      </c>
      <c r="B134" s="2">
        <v>45936</v>
      </c>
      <c r="C134" t="s">
        <v>35</v>
      </c>
      <c r="D134" t="s">
        <v>55</v>
      </c>
      <c r="E134" t="s">
        <v>17</v>
      </c>
      <c r="F134" s="1">
        <v>9</v>
      </c>
      <c r="G134" s="1">
        <v>5462.93</v>
      </c>
      <c r="H134" s="1">
        <v>927.38</v>
      </c>
    </row>
    <row r="135" spans="1:8" x14ac:dyDescent="0.25">
      <c r="A135" t="s">
        <v>161</v>
      </c>
      <c r="B135" s="2">
        <v>45854</v>
      </c>
      <c r="C135" t="s">
        <v>28</v>
      </c>
      <c r="D135" t="s">
        <v>57</v>
      </c>
      <c r="E135" t="s">
        <v>14</v>
      </c>
      <c r="F135" s="1">
        <v>4</v>
      </c>
      <c r="G135" s="1">
        <v>4711.5600000000004</v>
      </c>
      <c r="H135" s="1">
        <v>680.71</v>
      </c>
    </row>
    <row r="136" spans="1:8" x14ac:dyDescent="0.25">
      <c r="A136" t="s">
        <v>162</v>
      </c>
      <c r="B136" s="2">
        <v>45853</v>
      </c>
      <c r="C136" t="s">
        <v>35</v>
      </c>
      <c r="D136" t="s">
        <v>13</v>
      </c>
      <c r="E136" t="s">
        <v>14</v>
      </c>
      <c r="F136" s="1">
        <v>6</v>
      </c>
      <c r="G136" s="1">
        <v>5438.47</v>
      </c>
      <c r="H136" s="1">
        <v>1470.62</v>
      </c>
    </row>
    <row r="137" spans="1:8" x14ac:dyDescent="0.25">
      <c r="A137" t="s">
        <v>163</v>
      </c>
      <c r="B137" s="2">
        <v>45827</v>
      </c>
      <c r="C137" t="s">
        <v>9</v>
      </c>
      <c r="D137" t="s">
        <v>55</v>
      </c>
      <c r="E137" t="s">
        <v>17</v>
      </c>
      <c r="F137" s="1">
        <v>1</v>
      </c>
      <c r="G137" s="1">
        <v>195.18</v>
      </c>
      <c r="H137" s="1">
        <v>66.489999999999995</v>
      </c>
    </row>
    <row r="138" spans="1:8" x14ac:dyDescent="0.25">
      <c r="A138" t="s">
        <v>164</v>
      </c>
      <c r="B138" s="2">
        <v>45731</v>
      </c>
      <c r="C138" t="s">
        <v>35</v>
      </c>
      <c r="D138" t="s">
        <v>13</v>
      </c>
      <c r="E138" t="s">
        <v>14</v>
      </c>
      <c r="F138" s="1">
        <v>9</v>
      </c>
      <c r="G138" s="1">
        <v>9873.07</v>
      </c>
      <c r="H138" s="1">
        <v>830.76</v>
      </c>
    </row>
    <row r="139" spans="1:8" x14ac:dyDescent="0.25">
      <c r="A139" t="s">
        <v>165</v>
      </c>
      <c r="B139" s="2">
        <v>45977</v>
      </c>
      <c r="C139" t="s">
        <v>35</v>
      </c>
      <c r="D139" t="s">
        <v>48</v>
      </c>
      <c r="E139" t="s">
        <v>17</v>
      </c>
      <c r="F139" s="1">
        <v>8</v>
      </c>
      <c r="G139" s="1">
        <v>7590.03</v>
      </c>
      <c r="H139" s="1">
        <v>1150.32</v>
      </c>
    </row>
    <row r="140" spans="1:8" x14ac:dyDescent="0.25">
      <c r="A140" t="s">
        <v>166</v>
      </c>
      <c r="B140" s="2">
        <v>45907</v>
      </c>
      <c r="C140" t="s">
        <v>9</v>
      </c>
      <c r="D140" t="s">
        <v>20</v>
      </c>
      <c r="E140" t="s">
        <v>11</v>
      </c>
      <c r="F140" s="1">
        <v>9</v>
      </c>
      <c r="G140" s="1">
        <v>4383.1000000000004</v>
      </c>
      <c r="H140" s="1">
        <v>725.4</v>
      </c>
    </row>
    <row r="141" spans="1:8" x14ac:dyDescent="0.25">
      <c r="A141" t="s">
        <v>167</v>
      </c>
      <c r="B141" s="2">
        <v>45880</v>
      </c>
      <c r="C141" t="s">
        <v>9</v>
      </c>
      <c r="D141" t="s">
        <v>10</v>
      </c>
      <c r="E141" t="s">
        <v>11</v>
      </c>
      <c r="F141" s="1">
        <v>5</v>
      </c>
      <c r="G141" s="1">
        <v>5985.2</v>
      </c>
      <c r="H141" s="1">
        <v>1685.59</v>
      </c>
    </row>
    <row r="142" spans="1:8" x14ac:dyDescent="0.25">
      <c r="A142" t="s">
        <v>168</v>
      </c>
      <c r="B142" s="2">
        <v>45681</v>
      </c>
      <c r="C142" t="s">
        <v>22</v>
      </c>
      <c r="D142" t="s">
        <v>20</v>
      </c>
      <c r="E142" t="s">
        <v>11</v>
      </c>
      <c r="F142" s="1">
        <v>3</v>
      </c>
      <c r="G142" s="1">
        <v>2544.3000000000002</v>
      </c>
      <c r="H142" s="1">
        <v>824.16</v>
      </c>
    </row>
    <row r="143" spans="1:8" x14ac:dyDescent="0.25">
      <c r="A143" t="s">
        <v>169</v>
      </c>
      <c r="B143" s="2">
        <v>45929</v>
      </c>
      <c r="C143" t="s">
        <v>35</v>
      </c>
      <c r="D143" t="s">
        <v>20</v>
      </c>
      <c r="E143" t="s">
        <v>11</v>
      </c>
      <c r="F143" s="1">
        <v>6</v>
      </c>
      <c r="G143" s="1">
        <v>2886.4</v>
      </c>
      <c r="H143" s="1">
        <v>344.36</v>
      </c>
    </row>
    <row r="144" spans="1:8" x14ac:dyDescent="0.25">
      <c r="A144" t="s">
        <v>170</v>
      </c>
      <c r="B144" s="2">
        <v>45975</v>
      </c>
      <c r="C144" t="s">
        <v>28</v>
      </c>
      <c r="D144" t="s">
        <v>48</v>
      </c>
      <c r="E144" t="s">
        <v>17</v>
      </c>
      <c r="F144" s="1">
        <v>3</v>
      </c>
      <c r="G144" s="1">
        <v>422.44</v>
      </c>
      <c r="H144" s="1">
        <v>133.12</v>
      </c>
    </row>
    <row r="145" spans="1:8" x14ac:dyDescent="0.25">
      <c r="A145" t="s">
        <v>171</v>
      </c>
      <c r="B145" s="2">
        <v>45893</v>
      </c>
      <c r="C145" t="s">
        <v>22</v>
      </c>
      <c r="D145" t="s">
        <v>23</v>
      </c>
      <c r="E145" t="s">
        <v>14</v>
      </c>
      <c r="F145" s="1">
        <v>3</v>
      </c>
      <c r="G145" s="1">
        <v>951.05</v>
      </c>
      <c r="H145" s="1">
        <v>239.89</v>
      </c>
    </row>
    <row r="146" spans="1:8" x14ac:dyDescent="0.25">
      <c r="A146" t="s">
        <v>172</v>
      </c>
      <c r="B146" s="2">
        <v>45884</v>
      </c>
      <c r="C146" t="s">
        <v>22</v>
      </c>
      <c r="D146" t="s">
        <v>20</v>
      </c>
      <c r="E146" t="s">
        <v>11</v>
      </c>
      <c r="F146" s="1">
        <v>5</v>
      </c>
      <c r="G146" s="1">
        <v>4146.26</v>
      </c>
      <c r="H146" s="1">
        <v>508.55</v>
      </c>
    </row>
    <row r="147" spans="1:8" x14ac:dyDescent="0.25">
      <c r="A147" t="s">
        <v>173</v>
      </c>
      <c r="B147" s="2">
        <v>45812</v>
      </c>
      <c r="C147" t="s">
        <v>28</v>
      </c>
      <c r="D147" t="s">
        <v>25</v>
      </c>
      <c r="E147" t="s">
        <v>26</v>
      </c>
      <c r="F147" s="1">
        <v>7</v>
      </c>
      <c r="G147" s="1">
        <v>5907.02</v>
      </c>
      <c r="H147" s="1">
        <v>1201.17</v>
      </c>
    </row>
    <row r="148" spans="1:8" x14ac:dyDescent="0.25">
      <c r="A148" t="s">
        <v>174</v>
      </c>
      <c r="B148" s="2">
        <v>45952</v>
      </c>
      <c r="C148" t="s">
        <v>22</v>
      </c>
      <c r="D148" t="s">
        <v>57</v>
      </c>
      <c r="E148" t="s">
        <v>14</v>
      </c>
      <c r="F148" s="1">
        <v>2</v>
      </c>
      <c r="G148" s="1">
        <v>645.57000000000005</v>
      </c>
      <c r="H148" s="1">
        <v>151.33000000000001</v>
      </c>
    </row>
    <row r="149" spans="1:8" x14ac:dyDescent="0.25">
      <c r="A149" t="s">
        <v>175</v>
      </c>
      <c r="B149" s="2">
        <v>46009</v>
      </c>
      <c r="C149" t="s">
        <v>9</v>
      </c>
      <c r="D149" t="s">
        <v>33</v>
      </c>
      <c r="E149" t="s">
        <v>26</v>
      </c>
      <c r="F149" s="1">
        <v>7</v>
      </c>
      <c r="G149" s="1">
        <v>2559.5700000000002</v>
      </c>
      <c r="H149" s="1">
        <v>595.87</v>
      </c>
    </row>
    <row r="150" spans="1:8" x14ac:dyDescent="0.25">
      <c r="A150" t="s">
        <v>176</v>
      </c>
      <c r="B150" s="2">
        <v>45983</v>
      </c>
      <c r="C150" t="s">
        <v>28</v>
      </c>
      <c r="D150" t="s">
        <v>57</v>
      </c>
      <c r="E150" t="s">
        <v>14</v>
      </c>
      <c r="F150" s="1">
        <v>4</v>
      </c>
      <c r="G150" s="1">
        <v>2992.5</v>
      </c>
      <c r="H150" s="1">
        <v>524.07000000000005</v>
      </c>
    </row>
    <row r="151" spans="1:8" x14ac:dyDescent="0.25">
      <c r="A151" t="s">
        <v>177</v>
      </c>
      <c r="B151" s="2">
        <v>45988</v>
      </c>
      <c r="C151" t="s">
        <v>9</v>
      </c>
      <c r="D151" t="s">
        <v>25</v>
      </c>
      <c r="E151" t="s">
        <v>26</v>
      </c>
      <c r="F151" s="1">
        <v>3</v>
      </c>
      <c r="G151" s="1">
        <v>2317.46</v>
      </c>
      <c r="H151" s="1">
        <v>750.67</v>
      </c>
    </row>
    <row r="152" spans="1:8" x14ac:dyDescent="0.25">
      <c r="A152" t="s">
        <v>178</v>
      </c>
      <c r="B152" s="2">
        <v>45704</v>
      </c>
      <c r="C152" t="s">
        <v>22</v>
      </c>
      <c r="D152" t="s">
        <v>30</v>
      </c>
      <c r="E152" t="s">
        <v>26</v>
      </c>
      <c r="F152" s="1">
        <v>1</v>
      </c>
      <c r="G152" s="1">
        <v>716.51</v>
      </c>
      <c r="H152" s="1">
        <v>199</v>
      </c>
    </row>
    <row r="153" spans="1:8" x14ac:dyDescent="0.25">
      <c r="A153" t="s">
        <v>179</v>
      </c>
      <c r="B153" s="2">
        <v>45934</v>
      </c>
      <c r="C153" t="s">
        <v>22</v>
      </c>
      <c r="D153" t="s">
        <v>25</v>
      </c>
      <c r="E153" t="s">
        <v>26</v>
      </c>
      <c r="F153" s="1">
        <v>7</v>
      </c>
      <c r="G153" s="1">
        <v>1763.9</v>
      </c>
      <c r="H153" s="1">
        <v>204.05</v>
      </c>
    </row>
    <row r="154" spans="1:8" x14ac:dyDescent="0.25">
      <c r="A154" t="s">
        <v>180</v>
      </c>
      <c r="B154" s="2">
        <v>45809</v>
      </c>
      <c r="C154" t="s">
        <v>22</v>
      </c>
      <c r="D154" t="s">
        <v>33</v>
      </c>
      <c r="E154" t="s">
        <v>26</v>
      </c>
      <c r="F154" s="1">
        <v>5</v>
      </c>
      <c r="G154" s="1">
        <v>5505.78</v>
      </c>
      <c r="H154" s="1">
        <v>1844.05</v>
      </c>
    </row>
    <row r="155" spans="1:8" x14ac:dyDescent="0.25">
      <c r="A155" t="s">
        <v>181</v>
      </c>
      <c r="B155" s="2">
        <v>46004</v>
      </c>
      <c r="C155" t="s">
        <v>35</v>
      </c>
      <c r="D155" t="s">
        <v>20</v>
      </c>
      <c r="E155" t="s">
        <v>11</v>
      </c>
      <c r="F155" s="1">
        <v>2</v>
      </c>
      <c r="G155" s="1">
        <v>423.74</v>
      </c>
      <c r="H155" s="1">
        <v>144.47999999999999</v>
      </c>
    </row>
    <row r="156" spans="1:8" x14ac:dyDescent="0.25">
      <c r="A156" t="s">
        <v>182</v>
      </c>
      <c r="B156" s="2">
        <v>45890</v>
      </c>
      <c r="C156" t="s">
        <v>22</v>
      </c>
      <c r="D156" t="s">
        <v>33</v>
      </c>
      <c r="E156" t="s">
        <v>26</v>
      </c>
      <c r="F156" s="1">
        <v>7</v>
      </c>
      <c r="G156" s="1">
        <v>462.05</v>
      </c>
      <c r="H156" s="1">
        <v>103.9</v>
      </c>
    </row>
    <row r="157" spans="1:8" x14ac:dyDescent="0.25">
      <c r="A157" t="s">
        <v>183</v>
      </c>
      <c r="B157" s="2">
        <v>45713</v>
      </c>
      <c r="C157" t="s">
        <v>28</v>
      </c>
      <c r="D157" t="s">
        <v>25</v>
      </c>
      <c r="E157" t="s">
        <v>26</v>
      </c>
      <c r="F157" s="1">
        <v>7</v>
      </c>
      <c r="G157" s="1">
        <v>6970.46</v>
      </c>
      <c r="H157" s="1">
        <v>2327.29</v>
      </c>
    </row>
    <row r="158" spans="1:8" x14ac:dyDescent="0.25">
      <c r="A158" t="s">
        <v>184</v>
      </c>
      <c r="B158" s="2">
        <v>45970</v>
      </c>
      <c r="C158" t="s">
        <v>28</v>
      </c>
      <c r="D158" t="s">
        <v>13</v>
      </c>
      <c r="E158" t="s">
        <v>14</v>
      </c>
      <c r="F158" s="1">
        <v>10</v>
      </c>
      <c r="G158" s="1">
        <v>10668.7</v>
      </c>
      <c r="H158" s="1">
        <v>2470.66</v>
      </c>
    </row>
    <row r="159" spans="1:8" x14ac:dyDescent="0.25">
      <c r="A159" t="s">
        <v>185</v>
      </c>
      <c r="B159" s="2">
        <v>45867</v>
      </c>
      <c r="C159" t="s">
        <v>9</v>
      </c>
      <c r="D159" t="s">
        <v>41</v>
      </c>
      <c r="E159" t="s">
        <v>11</v>
      </c>
      <c r="F159" s="1">
        <v>8</v>
      </c>
      <c r="G159" s="1">
        <v>8766.3700000000008</v>
      </c>
      <c r="H159" s="1">
        <v>1416.57</v>
      </c>
    </row>
    <row r="160" spans="1:8" x14ac:dyDescent="0.25">
      <c r="A160" t="s">
        <v>186</v>
      </c>
      <c r="B160" s="2">
        <v>45707</v>
      </c>
      <c r="C160" t="s">
        <v>28</v>
      </c>
      <c r="D160" t="s">
        <v>48</v>
      </c>
      <c r="E160" t="s">
        <v>17</v>
      </c>
      <c r="F160" s="1">
        <v>1</v>
      </c>
      <c r="G160" s="1">
        <v>400.02</v>
      </c>
      <c r="H160" s="1">
        <v>85.21</v>
      </c>
    </row>
    <row r="161" spans="1:8" x14ac:dyDescent="0.25">
      <c r="A161" t="s">
        <v>187</v>
      </c>
      <c r="B161" s="2">
        <v>46014</v>
      </c>
      <c r="C161" t="s">
        <v>35</v>
      </c>
      <c r="D161" t="s">
        <v>55</v>
      </c>
      <c r="E161" t="s">
        <v>17</v>
      </c>
      <c r="F161" s="1">
        <v>8</v>
      </c>
      <c r="G161" s="1">
        <v>3813.31</v>
      </c>
      <c r="H161" s="1">
        <v>1282.54</v>
      </c>
    </row>
    <row r="162" spans="1:8" x14ac:dyDescent="0.25">
      <c r="A162" t="s">
        <v>188</v>
      </c>
      <c r="B162" s="2">
        <v>45801</v>
      </c>
      <c r="C162" t="s">
        <v>9</v>
      </c>
      <c r="D162" t="s">
        <v>55</v>
      </c>
      <c r="E162" t="s">
        <v>17</v>
      </c>
      <c r="F162" s="1">
        <v>2</v>
      </c>
      <c r="G162" s="1">
        <v>2017.49</v>
      </c>
      <c r="H162" s="1">
        <v>496.76</v>
      </c>
    </row>
    <row r="163" spans="1:8" x14ac:dyDescent="0.25">
      <c r="A163" t="s">
        <v>189</v>
      </c>
      <c r="B163" s="2">
        <v>45843</v>
      </c>
      <c r="C163" t="s">
        <v>9</v>
      </c>
      <c r="D163" t="s">
        <v>33</v>
      </c>
      <c r="E163" t="s">
        <v>26</v>
      </c>
      <c r="F163" s="1">
        <v>8</v>
      </c>
      <c r="G163" s="1">
        <v>4491.2</v>
      </c>
      <c r="H163" s="1">
        <v>645.61</v>
      </c>
    </row>
    <row r="164" spans="1:8" x14ac:dyDescent="0.25">
      <c r="A164" t="s">
        <v>190</v>
      </c>
      <c r="B164" s="2">
        <v>45720</v>
      </c>
      <c r="C164" t="s">
        <v>35</v>
      </c>
      <c r="D164" t="s">
        <v>25</v>
      </c>
      <c r="E164" t="s">
        <v>26</v>
      </c>
      <c r="F164" s="1">
        <v>6</v>
      </c>
      <c r="G164" s="1">
        <v>717.8</v>
      </c>
      <c r="H164" s="1">
        <v>110.89</v>
      </c>
    </row>
    <row r="165" spans="1:8" x14ac:dyDescent="0.25">
      <c r="A165" t="s">
        <v>191</v>
      </c>
      <c r="B165" s="2">
        <v>45668</v>
      </c>
      <c r="C165" t="s">
        <v>9</v>
      </c>
      <c r="D165" t="s">
        <v>41</v>
      </c>
      <c r="E165" t="s">
        <v>11</v>
      </c>
      <c r="F165" s="1">
        <v>4</v>
      </c>
      <c r="G165" s="1">
        <v>3151.84</v>
      </c>
      <c r="H165" s="1">
        <v>760.32</v>
      </c>
    </row>
    <row r="166" spans="1:8" x14ac:dyDescent="0.25">
      <c r="A166" t="s">
        <v>192</v>
      </c>
      <c r="B166" s="2">
        <v>45941</v>
      </c>
      <c r="C166" t="s">
        <v>28</v>
      </c>
      <c r="D166" t="s">
        <v>33</v>
      </c>
      <c r="E166" t="s">
        <v>26</v>
      </c>
      <c r="F166" s="1">
        <v>3</v>
      </c>
      <c r="G166" s="1">
        <v>2865.07</v>
      </c>
      <c r="H166" s="1">
        <v>387.95</v>
      </c>
    </row>
    <row r="167" spans="1:8" x14ac:dyDescent="0.25">
      <c r="A167" t="s">
        <v>193</v>
      </c>
      <c r="B167" s="2">
        <v>45963</v>
      </c>
      <c r="C167" t="s">
        <v>9</v>
      </c>
      <c r="D167" t="s">
        <v>48</v>
      </c>
      <c r="E167" t="s">
        <v>17</v>
      </c>
      <c r="F167" s="1">
        <v>6</v>
      </c>
      <c r="G167" s="1">
        <v>5643.14</v>
      </c>
      <c r="H167" s="1">
        <v>1653.07</v>
      </c>
    </row>
    <row r="168" spans="1:8" x14ac:dyDescent="0.25">
      <c r="A168" t="s">
        <v>194</v>
      </c>
      <c r="B168" s="2">
        <v>45714</v>
      </c>
      <c r="C168" t="s">
        <v>9</v>
      </c>
      <c r="D168" t="s">
        <v>33</v>
      </c>
      <c r="E168" t="s">
        <v>26</v>
      </c>
      <c r="F168" s="1">
        <v>3</v>
      </c>
      <c r="G168" s="1">
        <v>2013.74</v>
      </c>
      <c r="H168" s="1">
        <v>595.26</v>
      </c>
    </row>
    <row r="169" spans="1:8" x14ac:dyDescent="0.25">
      <c r="A169" t="s">
        <v>195</v>
      </c>
      <c r="B169" s="2">
        <v>45823</v>
      </c>
      <c r="C169" t="s">
        <v>9</v>
      </c>
      <c r="D169" t="s">
        <v>48</v>
      </c>
      <c r="E169" t="s">
        <v>17</v>
      </c>
      <c r="F169" s="1">
        <v>6</v>
      </c>
      <c r="G169" s="1">
        <v>5750.89</v>
      </c>
      <c r="H169" s="1">
        <v>829.52</v>
      </c>
    </row>
    <row r="170" spans="1:8" x14ac:dyDescent="0.25">
      <c r="A170" t="s">
        <v>196</v>
      </c>
      <c r="B170" s="2">
        <v>45716</v>
      </c>
      <c r="C170" t="s">
        <v>9</v>
      </c>
      <c r="D170" t="s">
        <v>55</v>
      </c>
      <c r="E170" t="s">
        <v>17</v>
      </c>
      <c r="F170" s="1">
        <v>1</v>
      </c>
      <c r="G170" s="1">
        <v>195.77</v>
      </c>
      <c r="H170" s="1">
        <v>37.909999999999997</v>
      </c>
    </row>
    <row r="171" spans="1:8" x14ac:dyDescent="0.25">
      <c r="A171" t="s">
        <v>197</v>
      </c>
      <c r="B171" s="2">
        <v>45915</v>
      </c>
      <c r="C171" t="s">
        <v>28</v>
      </c>
      <c r="D171" t="s">
        <v>57</v>
      </c>
      <c r="E171" t="s">
        <v>14</v>
      </c>
      <c r="F171" s="1">
        <v>6</v>
      </c>
      <c r="G171" s="1">
        <v>3841.34</v>
      </c>
      <c r="H171" s="1">
        <v>420.41</v>
      </c>
    </row>
    <row r="172" spans="1:8" x14ac:dyDescent="0.25">
      <c r="A172" t="s">
        <v>198</v>
      </c>
      <c r="B172" s="2">
        <v>45673</v>
      </c>
      <c r="C172" t="s">
        <v>9</v>
      </c>
      <c r="D172" t="s">
        <v>41</v>
      </c>
      <c r="E172" t="s">
        <v>11</v>
      </c>
      <c r="F172" s="1">
        <v>9</v>
      </c>
      <c r="G172" s="1">
        <v>3571.87</v>
      </c>
      <c r="H172" s="1">
        <v>906.19</v>
      </c>
    </row>
    <row r="173" spans="1:8" x14ac:dyDescent="0.25">
      <c r="A173" t="s">
        <v>199</v>
      </c>
      <c r="B173" s="2">
        <v>45885</v>
      </c>
      <c r="C173" t="s">
        <v>9</v>
      </c>
      <c r="D173" t="s">
        <v>57</v>
      </c>
      <c r="E173" t="s">
        <v>14</v>
      </c>
      <c r="F173" s="1">
        <v>7</v>
      </c>
      <c r="G173" s="1">
        <v>5873.08</v>
      </c>
      <c r="H173" s="1">
        <v>1247.28</v>
      </c>
    </row>
    <row r="174" spans="1:8" x14ac:dyDescent="0.25">
      <c r="A174" t="s">
        <v>200</v>
      </c>
      <c r="B174" s="2">
        <v>45977</v>
      </c>
      <c r="C174" t="s">
        <v>22</v>
      </c>
      <c r="D174" t="s">
        <v>20</v>
      </c>
      <c r="E174" t="s">
        <v>11</v>
      </c>
      <c r="F174" s="1">
        <v>10</v>
      </c>
      <c r="G174" s="1">
        <v>2205.84</v>
      </c>
      <c r="H174" s="1">
        <v>251.62</v>
      </c>
    </row>
    <row r="175" spans="1:8" x14ac:dyDescent="0.25">
      <c r="A175" t="s">
        <v>201</v>
      </c>
      <c r="B175" s="2">
        <v>45878</v>
      </c>
      <c r="C175" t="s">
        <v>9</v>
      </c>
      <c r="D175" t="s">
        <v>23</v>
      </c>
      <c r="E175" t="s">
        <v>14</v>
      </c>
      <c r="F175" s="1">
        <v>9</v>
      </c>
      <c r="G175" s="1">
        <v>3502.19</v>
      </c>
      <c r="H175" s="1">
        <v>758.22</v>
      </c>
    </row>
    <row r="176" spans="1:8" x14ac:dyDescent="0.25">
      <c r="A176" t="s">
        <v>202</v>
      </c>
      <c r="B176" s="2">
        <v>45889</v>
      </c>
      <c r="C176" t="s">
        <v>28</v>
      </c>
      <c r="D176" t="s">
        <v>41</v>
      </c>
      <c r="E176" t="s">
        <v>11</v>
      </c>
      <c r="F176" s="1">
        <v>9</v>
      </c>
      <c r="G176" s="1">
        <v>7910.69</v>
      </c>
      <c r="H176" s="1">
        <v>1092.1199999999999</v>
      </c>
    </row>
    <row r="177" spans="1:8" x14ac:dyDescent="0.25">
      <c r="A177" t="s">
        <v>203</v>
      </c>
      <c r="B177" s="2">
        <v>45818</v>
      </c>
      <c r="C177" t="s">
        <v>35</v>
      </c>
      <c r="D177" t="s">
        <v>57</v>
      </c>
      <c r="E177" t="s">
        <v>14</v>
      </c>
      <c r="F177" s="1">
        <v>8</v>
      </c>
      <c r="G177" s="1">
        <v>4068.32</v>
      </c>
      <c r="H177" s="1">
        <v>1126.9100000000001</v>
      </c>
    </row>
    <row r="178" spans="1:8" x14ac:dyDescent="0.25">
      <c r="A178" t="s">
        <v>204</v>
      </c>
      <c r="B178" s="2">
        <v>45900</v>
      </c>
      <c r="C178" t="s">
        <v>9</v>
      </c>
      <c r="D178" t="s">
        <v>25</v>
      </c>
      <c r="E178" t="s">
        <v>26</v>
      </c>
      <c r="F178" s="1">
        <v>5</v>
      </c>
      <c r="G178" s="1">
        <v>2402.23</v>
      </c>
      <c r="H178" s="1">
        <v>291.18</v>
      </c>
    </row>
    <row r="179" spans="1:8" x14ac:dyDescent="0.25">
      <c r="A179" t="s">
        <v>205</v>
      </c>
      <c r="B179" s="2">
        <v>45848</v>
      </c>
      <c r="C179" t="s">
        <v>28</v>
      </c>
      <c r="D179" t="s">
        <v>10</v>
      </c>
      <c r="E179" t="s">
        <v>11</v>
      </c>
      <c r="F179" s="1">
        <v>2</v>
      </c>
      <c r="G179" s="1">
        <v>1093.32</v>
      </c>
      <c r="H179" s="1">
        <v>307.27</v>
      </c>
    </row>
    <row r="180" spans="1:8" x14ac:dyDescent="0.25">
      <c r="A180" t="s">
        <v>206</v>
      </c>
      <c r="B180" s="2">
        <v>45868</v>
      </c>
      <c r="C180" t="s">
        <v>22</v>
      </c>
      <c r="D180" t="s">
        <v>41</v>
      </c>
      <c r="E180" t="s">
        <v>11</v>
      </c>
      <c r="F180" s="1">
        <v>9</v>
      </c>
      <c r="G180" s="1">
        <v>6263.42</v>
      </c>
      <c r="H180" s="1">
        <v>1634.15</v>
      </c>
    </row>
    <row r="181" spans="1:8" x14ac:dyDescent="0.25">
      <c r="A181" t="s">
        <v>207</v>
      </c>
      <c r="B181" s="2">
        <v>45838</v>
      </c>
      <c r="C181" t="s">
        <v>9</v>
      </c>
      <c r="D181" t="s">
        <v>23</v>
      </c>
      <c r="E181" t="s">
        <v>14</v>
      </c>
      <c r="F181" s="1">
        <v>1</v>
      </c>
      <c r="G181" s="1">
        <v>1163.6600000000001</v>
      </c>
      <c r="H181" s="1">
        <v>281.73</v>
      </c>
    </row>
    <row r="182" spans="1:8" x14ac:dyDescent="0.25">
      <c r="A182" t="s">
        <v>208</v>
      </c>
      <c r="B182" s="2">
        <v>45942</v>
      </c>
      <c r="C182" t="s">
        <v>22</v>
      </c>
      <c r="D182" t="s">
        <v>48</v>
      </c>
      <c r="E182" t="s">
        <v>17</v>
      </c>
      <c r="F182" s="1">
        <v>8</v>
      </c>
      <c r="G182" s="1">
        <v>2463.0500000000002</v>
      </c>
      <c r="H182" s="1">
        <v>269.01</v>
      </c>
    </row>
    <row r="183" spans="1:8" x14ac:dyDescent="0.25">
      <c r="A183" t="s">
        <v>209</v>
      </c>
      <c r="B183" s="2">
        <v>45945</v>
      </c>
      <c r="C183" t="s">
        <v>9</v>
      </c>
      <c r="D183" t="s">
        <v>20</v>
      </c>
      <c r="E183" t="s">
        <v>11</v>
      </c>
      <c r="F183" s="1">
        <v>10</v>
      </c>
      <c r="G183" s="1">
        <v>3100.83</v>
      </c>
      <c r="H183" s="1">
        <v>607.33000000000004</v>
      </c>
    </row>
    <row r="184" spans="1:8" x14ac:dyDescent="0.25">
      <c r="A184" t="s">
        <v>210</v>
      </c>
      <c r="B184" s="2">
        <v>45831</v>
      </c>
      <c r="C184" t="s">
        <v>22</v>
      </c>
      <c r="D184" t="s">
        <v>33</v>
      </c>
      <c r="E184" t="s">
        <v>26</v>
      </c>
      <c r="F184" s="1">
        <v>3</v>
      </c>
      <c r="G184" s="1">
        <v>1092.78</v>
      </c>
      <c r="H184" s="1">
        <v>312.37</v>
      </c>
    </row>
    <row r="185" spans="1:8" x14ac:dyDescent="0.25">
      <c r="A185" t="s">
        <v>211</v>
      </c>
      <c r="B185" s="2">
        <v>45730</v>
      </c>
      <c r="C185" t="s">
        <v>9</v>
      </c>
      <c r="D185" t="s">
        <v>10</v>
      </c>
      <c r="E185" t="s">
        <v>11</v>
      </c>
      <c r="F185" s="1">
        <v>3</v>
      </c>
      <c r="G185" s="1">
        <v>2103.81</v>
      </c>
      <c r="H185" s="1">
        <v>395.96</v>
      </c>
    </row>
    <row r="186" spans="1:8" x14ac:dyDescent="0.25">
      <c r="A186" t="s">
        <v>212</v>
      </c>
      <c r="B186" s="2">
        <v>45832</v>
      </c>
      <c r="C186" t="s">
        <v>28</v>
      </c>
      <c r="D186" t="s">
        <v>41</v>
      </c>
      <c r="E186" t="s">
        <v>11</v>
      </c>
      <c r="F186" s="1">
        <v>9</v>
      </c>
      <c r="G186" s="1">
        <v>2676.63</v>
      </c>
      <c r="H186" s="1">
        <v>517.54</v>
      </c>
    </row>
    <row r="187" spans="1:8" x14ac:dyDescent="0.25">
      <c r="A187" t="s">
        <v>213</v>
      </c>
      <c r="B187" s="2">
        <v>45701</v>
      </c>
      <c r="C187" t="s">
        <v>9</v>
      </c>
      <c r="D187" t="s">
        <v>30</v>
      </c>
      <c r="E187" t="s">
        <v>26</v>
      </c>
      <c r="F187" s="1">
        <v>6</v>
      </c>
      <c r="G187" s="1">
        <v>5660.17</v>
      </c>
      <c r="H187" s="1">
        <v>1320.24</v>
      </c>
    </row>
    <row r="188" spans="1:8" x14ac:dyDescent="0.25">
      <c r="A188" t="s">
        <v>214</v>
      </c>
      <c r="B188" s="2">
        <v>45884</v>
      </c>
      <c r="C188" t="s">
        <v>35</v>
      </c>
      <c r="D188" t="s">
        <v>48</v>
      </c>
      <c r="E188" t="s">
        <v>17</v>
      </c>
      <c r="F188" s="1">
        <v>10</v>
      </c>
      <c r="G188" s="1">
        <v>1072.27</v>
      </c>
      <c r="H188" s="1">
        <v>109.4</v>
      </c>
    </row>
    <row r="189" spans="1:8" x14ac:dyDescent="0.25">
      <c r="A189" t="s">
        <v>215</v>
      </c>
      <c r="B189" s="2">
        <v>45920</v>
      </c>
      <c r="C189" t="s">
        <v>9</v>
      </c>
      <c r="D189" t="s">
        <v>23</v>
      </c>
      <c r="E189" t="s">
        <v>14</v>
      </c>
      <c r="F189" s="1">
        <v>8</v>
      </c>
      <c r="G189" s="1">
        <v>4210.49</v>
      </c>
      <c r="H189" s="1">
        <v>581.9</v>
      </c>
    </row>
    <row r="190" spans="1:8" x14ac:dyDescent="0.25">
      <c r="A190" t="s">
        <v>216</v>
      </c>
      <c r="B190" s="2">
        <v>45907</v>
      </c>
      <c r="C190" t="s">
        <v>22</v>
      </c>
      <c r="D190" t="s">
        <v>30</v>
      </c>
      <c r="E190" t="s">
        <v>26</v>
      </c>
      <c r="F190" s="1">
        <v>2</v>
      </c>
      <c r="G190" s="1">
        <v>751.47</v>
      </c>
      <c r="H190" s="1">
        <v>197.78</v>
      </c>
    </row>
    <row r="191" spans="1:8" x14ac:dyDescent="0.25">
      <c r="A191" t="s">
        <v>217</v>
      </c>
      <c r="B191" s="2">
        <v>45762</v>
      </c>
      <c r="C191" t="s">
        <v>22</v>
      </c>
      <c r="D191" t="s">
        <v>10</v>
      </c>
      <c r="E191" t="s">
        <v>11</v>
      </c>
      <c r="F191" s="1">
        <v>7</v>
      </c>
      <c r="G191" s="1">
        <v>8274.7900000000009</v>
      </c>
      <c r="H191" s="1">
        <v>784.38</v>
      </c>
    </row>
    <row r="192" spans="1:8" x14ac:dyDescent="0.25">
      <c r="A192" t="s">
        <v>218</v>
      </c>
      <c r="B192" s="2">
        <v>45912</v>
      </c>
      <c r="C192" t="s">
        <v>35</v>
      </c>
      <c r="D192" t="s">
        <v>48</v>
      </c>
      <c r="E192" t="s">
        <v>17</v>
      </c>
      <c r="F192" s="1">
        <v>5</v>
      </c>
      <c r="G192" s="1">
        <v>1914.32</v>
      </c>
      <c r="H192" s="1">
        <v>215.16</v>
      </c>
    </row>
    <row r="193" spans="1:8" x14ac:dyDescent="0.25">
      <c r="A193" t="s">
        <v>219</v>
      </c>
      <c r="B193" s="2">
        <v>45944</v>
      </c>
      <c r="C193" t="s">
        <v>22</v>
      </c>
      <c r="D193" t="s">
        <v>48</v>
      </c>
      <c r="E193" t="s">
        <v>17</v>
      </c>
      <c r="F193" s="1">
        <v>7</v>
      </c>
      <c r="G193" s="1">
        <v>4637.29</v>
      </c>
      <c r="H193" s="1">
        <v>659.1</v>
      </c>
    </row>
    <row r="194" spans="1:8" x14ac:dyDescent="0.25">
      <c r="A194" t="s">
        <v>220</v>
      </c>
      <c r="B194" s="2">
        <v>45697</v>
      </c>
      <c r="C194" t="s">
        <v>22</v>
      </c>
      <c r="D194" t="s">
        <v>20</v>
      </c>
      <c r="E194" t="s">
        <v>11</v>
      </c>
      <c r="F194" s="1">
        <v>1</v>
      </c>
      <c r="G194" s="1">
        <v>551.65</v>
      </c>
      <c r="H194" s="1">
        <v>112.61</v>
      </c>
    </row>
    <row r="195" spans="1:8" x14ac:dyDescent="0.25">
      <c r="A195" t="s">
        <v>221</v>
      </c>
      <c r="B195" s="2">
        <v>45716</v>
      </c>
      <c r="C195" t="s">
        <v>35</v>
      </c>
      <c r="D195" t="s">
        <v>23</v>
      </c>
      <c r="E195" t="s">
        <v>14</v>
      </c>
      <c r="F195" s="1">
        <v>7</v>
      </c>
      <c r="G195" s="1">
        <v>6061.47</v>
      </c>
      <c r="H195" s="1">
        <v>1168.51</v>
      </c>
    </row>
    <row r="196" spans="1:8" x14ac:dyDescent="0.25">
      <c r="A196" t="s">
        <v>222</v>
      </c>
      <c r="B196" s="2">
        <v>46011</v>
      </c>
      <c r="C196" t="s">
        <v>22</v>
      </c>
      <c r="D196" t="s">
        <v>20</v>
      </c>
      <c r="E196" t="s">
        <v>11</v>
      </c>
      <c r="F196" s="1">
        <v>3</v>
      </c>
      <c r="G196" s="1">
        <v>2914.56</v>
      </c>
      <c r="H196" s="1">
        <v>719.59</v>
      </c>
    </row>
    <row r="197" spans="1:8" x14ac:dyDescent="0.25">
      <c r="A197" t="s">
        <v>223</v>
      </c>
      <c r="B197" s="2">
        <v>45926</v>
      </c>
      <c r="C197" t="s">
        <v>9</v>
      </c>
      <c r="D197" t="s">
        <v>20</v>
      </c>
      <c r="E197" t="s">
        <v>11</v>
      </c>
      <c r="F197" s="1">
        <v>2</v>
      </c>
      <c r="G197" s="1">
        <v>659.63</v>
      </c>
      <c r="H197" s="1">
        <v>157.65</v>
      </c>
    </row>
    <row r="198" spans="1:8" x14ac:dyDescent="0.25">
      <c r="A198" t="s">
        <v>224</v>
      </c>
      <c r="B198" s="2">
        <v>45697</v>
      </c>
      <c r="C198" t="s">
        <v>9</v>
      </c>
      <c r="D198" t="s">
        <v>57</v>
      </c>
      <c r="E198" t="s">
        <v>14</v>
      </c>
      <c r="F198" s="1">
        <v>6</v>
      </c>
      <c r="G198" s="1">
        <v>1828.85</v>
      </c>
      <c r="H198" s="1">
        <v>531.03</v>
      </c>
    </row>
    <row r="199" spans="1:8" x14ac:dyDescent="0.25">
      <c r="A199" t="s">
        <v>225</v>
      </c>
      <c r="B199" s="2">
        <v>45733</v>
      </c>
      <c r="C199" t="s">
        <v>28</v>
      </c>
      <c r="D199" t="s">
        <v>55</v>
      </c>
      <c r="E199" t="s">
        <v>17</v>
      </c>
      <c r="F199" s="1">
        <v>6</v>
      </c>
      <c r="G199" s="1">
        <v>5318.92</v>
      </c>
      <c r="H199" s="1">
        <v>1601.61</v>
      </c>
    </row>
    <row r="200" spans="1:8" x14ac:dyDescent="0.25">
      <c r="A200" t="s">
        <v>226</v>
      </c>
      <c r="B200" s="2">
        <v>45993</v>
      </c>
      <c r="C200" t="s">
        <v>9</v>
      </c>
      <c r="D200" t="s">
        <v>10</v>
      </c>
      <c r="E200" t="s">
        <v>11</v>
      </c>
      <c r="F200" s="1">
        <v>5</v>
      </c>
      <c r="G200" s="1">
        <v>1384.31</v>
      </c>
      <c r="H200" s="1">
        <v>335.9</v>
      </c>
    </row>
    <row r="201" spans="1:8" x14ac:dyDescent="0.25">
      <c r="A201" t="s">
        <v>227</v>
      </c>
      <c r="B201" s="2">
        <v>45954</v>
      </c>
      <c r="C201" t="s">
        <v>35</v>
      </c>
      <c r="D201" t="s">
        <v>16</v>
      </c>
      <c r="E201" t="s">
        <v>17</v>
      </c>
      <c r="F201" s="1">
        <v>8</v>
      </c>
      <c r="G201" s="1">
        <v>4668.37</v>
      </c>
      <c r="H201" s="1">
        <v>1084.04</v>
      </c>
    </row>
    <row r="202" spans="1:8" x14ac:dyDescent="0.25">
      <c r="A202" t="s">
        <v>228</v>
      </c>
      <c r="B202" s="2">
        <v>45884</v>
      </c>
      <c r="C202" t="s">
        <v>22</v>
      </c>
      <c r="D202" t="s">
        <v>25</v>
      </c>
      <c r="E202" t="s">
        <v>26</v>
      </c>
      <c r="F202" s="1">
        <v>6</v>
      </c>
      <c r="G202" s="1">
        <v>1341.61</v>
      </c>
      <c r="H202" s="1">
        <v>132.06</v>
      </c>
    </row>
    <row r="203" spans="1:8" x14ac:dyDescent="0.25">
      <c r="A203" t="s">
        <v>229</v>
      </c>
      <c r="B203" s="2">
        <v>45894</v>
      </c>
      <c r="C203" t="s">
        <v>35</v>
      </c>
      <c r="D203" t="s">
        <v>25</v>
      </c>
      <c r="E203" t="s">
        <v>26</v>
      </c>
      <c r="F203" s="1">
        <v>1</v>
      </c>
      <c r="G203" s="1">
        <v>454.73</v>
      </c>
      <c r="H203" s="1">
        <v>45.49</v>
      </c>
    </row>
    <row r="204" spans="1:8" x14ac:dyDescent="0.25">
      <c r="A204" t="s">
        <v>230</v>
      </c>
      <c r="B204" s="2">
        <v>45704</v>
      </c>
      <c r="C204" t="s">
        <v>35</v>
      </c>
      <c r="D204" t="s">
        <v>10</v>
      </c>
      <c r="E204" t="s">
        <v>11</v>
      </c>
      <c r="F204" s="1">
        <v>6</v>
      </c>
      <c r="G204" s="1">
        <v>6038.71</v>
      </c>
      <c r="H204" s="1">
        <v>608.20000000000005</v>
      </c>
    </row>
    <row r="205" spans="1:8" x14ac:dyDescent="0.25">
      <c r="A205" t="s">
        <v>231</v>
      </c>
      <c r="B205" s="2">
        <v>45679</v>
      </c>
      <c r="C205" t="s">
        <v>35</v>
      </c>
      <c r="D205" t="s">
        <v>23</v>
      </c>
      <c r="E205" t="s">
        <v>14</v>
      </c>
      <c r="F205" s="1">
        <v>9</v>
      </c>
      <c r="G205" s="1">
        <v>10326.299999999999</v>
      </c>
      <c r="H205" s="1">
        <v>2886.29</v>
      </c>
    </row>
    <row r="206" spans="1:8" x14ac:dyDescent="0.25">
      <c r="A206" t="s">
        <v>232</v>
      </c>
      <c r="B206" s="2">
        <v>45689</v>
      </c>
      <c r="C206" t="s">
        <v>35</v>
      </c>
      <c r="D206" t="s">
        <v>55</v>
      </c>
      <c r="E206" t="s">
        <v>17</v>
      </c>
      <c r="F206" s="1">
        <v>10</v>
      </c>
      <c r="G206" s="1">
        <v>5969.73</v>
      </c>
      <c r="H206" s="1">
        <v>720.74</v>
      </c>
    </row>
    <row r="207" spans="1:8" x14ac:dyDescent="0.25">
      <c r="A207" t="s">
        <v>233</v>
      </c>
      <c r="B207" s="2">
        <v>45784</v>
      </c>
      <c r="C207" t="s">
        <v>35</v>
      </c>
      <c r="D207" t="s">
        <v>20</v>
      </c>
      <c r="E207" t="s">
        <v>11</v>
      </c>
      <c r="F207" s="1">
        <v>2</v>
      </c>
      <c r="G207" s="1">
        <v>1260.46</v>
      </c>
      <c r="H207" s="1">
        <v>159.56</v>
      </c>
    </row>
    <row r="208" spans="1:8" x14ac:dyDescent="0.25">
      <c r="A208" t="s">
        <v>234</v>
      </c>
      <c r="B208" s="2">
        <v>45802</v>
      </c>
      <c r="C208" t="s">
        <v>35</v>
      </c>
      <c r="D208" t="s">
        <v>23</v>
      </c>
      <c r="E208" t="s">
        <v>14</v>
      </c>
      <c r="F208" s="1">
        <v>9</v>
      </c>
      <c r="G208" s="1">
        <v>6761.49</v>
      </c>
      <c r="H208" s="1">
        <v>1205.25</v>
      </c>
    </row>
    <row r="209" spans="1:8" x14ac:dyDescent="0.25">
      <c r="A209" t="s">
        <v>235</v>
      </c>
      <c r="B209" s="2">
        <v>45829</v>
      </c>
      <c r="C209" t="s">
        <v>9</v>
      </c>
      <c r="D209" t="s">
        <v>57</v>
      </c>
      <c r="E209" t="s">
        <v>14</v>
      </c>
      <c r="F209" s="1">
        <v>10</v>
      </c>
      <c r="G209" s="1">
        <v>1102.2</v>
      </c>
      <c r="H209" s="1">
        <v>275.92</v>
      </c>
    </row>
    <row r="210" spans="1:8" x14ac:dyDescent="0.25">
      <c r="A210" t="s">
        <v>236</v>
      </c>
      <c r="B210" s="2">
        <v>45994</v>
      </c>
      <c r="C210" t="s">
        <v>28</v>
      </c>
      <c r="D210" t="s">
        <v>33</v>
      </c>
      <c r="E210" t="s">
        <v>26</v>
      </c>
      <c r="F210" s="1">
        <v>9</v>
      </c>
      <c r="G210" s="1">
        <v>7471.23</v>
      </c>
      <c r="H210" s="1">
        <v>1170.8900000000001</v>
      </c>
    </row>
    <row r="211" spans="1:8" x14ac:dyDescent="0.25">
      <c r="A211" t="s">
        <v>237</v>
      </c>
      <c r="B211" s="2">
        <v>45816</v>
      </c>
      <c r="C211" t="s">
        <v>35</v>
      </c>
      <c r="D211" t="s">
        <v>33</v>
      </c>
      <c r="E211" t="s">
        <v>26</v>
      </c>
      <c r="F211" s="1">
        <v>10</v>
      </c>
      <c r="G211" s="1">
        <v>8131.54</v>
      </c>
      <c r="H211" s="1">
        <v>2663.25</v>
      </c>
    </row>
    <row r="212" spans="1:8" x14ac:dyDescent="0.25">
      <c r="A212" t="s">
        <v>238</v>
      </c>
      <c r="B212" s="2">
        <v>45826</v>
      </c>
      <c r="C212" t="s">
        <v>28</v>
      </c>
      <c r="D212" t="s">
        <v>16</v>
      </c>
      <c r="E212" t="s">
        <v>17</v>
      </c>
      <c r="F212" s="1">
        <v>2</v>
      </c>
      <c r="G212" s="1">
        <v>812.04</v>
      </c>
      <c r="H212" s="1">
        <v>147.55000000000001</v>
      </c>
    </row>
    <row r="213" spans="1:8" x14ac:dyDescent="0.25">
      <c r="A213" t="s">
        <v>239</v>
      </c>
      <c r="B213" s="2">
        <v>45816</v>
      </c>
      <c r="C213" t="s">
        <v>28</v>
      </c>
      <c r="D213" t="s">
        <v>41</v>
      </c>
      <c r="E213" t="s">
        <v>11</v>
      </c>
      <c r="F213" s="1">
        <v>7</v>
      </c>
      <c r="G213" s="1">
        <v>4443.33</v>
      </c>
      <c r="H213" s="1">
        <v>377.34</v>
      </c>
    </row>
    <row r="214" spans="1:8" x14ac:dyDescent="0.25">
      <c r="A214" t="s">
        <v>240</v>
      </c>
      <c r="B214" s="2">
        <v>45737</v>
      </c>
      <c r="C214" t="s">
        <v>9</v>
      </c>
      <c r="D214" t="s">
        <v>55</v>
      </c>
      <c r="E214" t="s">
        <v>17</v>
      </c>
      <c r="F214" s="1">
        <v>8</v>
      </c>
      <c r="G214" s="1">
        <v>2166.4499999999998</v>
      </c>
      <c r="H214" s="1">
        <v>758.24</v>
      </c>
    </row>
    <row r="215" spans="1:8" x14ac:dyDescent="0.25">
      <c r="A215" t="s">
        <v>241</v>
      </c>
      <c r="B215" s="2">
        <v>45927</v>
      </c>
      <c r="C215" t="s">
        <v>9</v>
      </c>
      <c r="D215" t="s">
        <v>33</v>
      </c>
      <c r="E215" t="s">
        <v>26</v>
      </c>
      <c r="F215" s="1">
        <v>9</v>
      </c>
      <c r="G215" s="1">
        <v>8428.5499999999993</v>
      </c>
      <c r="H215" s="1">
        <v>2574.77</v>
      </c>
    </row>
    <row r="216" spans="1:8" x14ac:dyDescent="0.25">
      <c r="A216" t="s">
        <v>242</v>
      </c>
      <c r="B216" s="2">
        <v>45750</v>
      </c>
      <c r="C216" t="s">
        <v>28</v>
      </c>
      <c r="D216" t="s">
        <v>25</v>
      </c>
      <c r="E216" t="s">
        <v>26</v>
      </c>
      <c r="F216" s="1">
        <v>3</v>
      </c>
      <c r="G216" s="1">
        <v>2210.5</v>
      </c>
      <c r="H216" s="1">
        <v>268.89999999999998</v>
      </c>
    </row>
    <row r="217" spans="1:8" x14ac:dyDescent="0.25">
      <c r="A217" t="s">
        <v>243</v>
      </c>
      <c r="B217" s="2">
        <v>45885</v>
      </c>
      <c r="C217" t="s">
        <v>22</v>
      </c>
      <c r="D217" t="s">
        <v>13</v>
      </c>
      <c r="E217" t="s">
        <v>14</v>
      </c>
      <c r="F217" s="1">
        <v>7</v>
      </c>
      <c r="G217" s="1">
        <v>3282.61</v>
      </c>
      <c r="H217" s="1">
        <v>900.38</v>
      </c>
    </row>
    <row r="218" spans="1:8" x14ac:dyDescent="0.25">
      <c r="A218" t="s">
        <v>244</v>
      </c>
      <c r="B218" s="2">
        <v>45898</v>
      </c>
      <c r="C218" t="s">
        <v>28</v>
      </c>
      <c r="D218" t="s">
        <v>13</v>
      </c>
      <c r="E218" t="s">
        <v>14</v>
      </c>
      <c r="F218" s="1">
        <v>9</v>
      </c>
      <c r="G218" s="1">
        <v>2925.39</v>
      </c>
      <c r="H218" s="1">
        <v>996.71</v>
      </c>
    </row>
    <row r="219" spans="1:8" x14ac:dyDescent="0.25">
      <c r="A219" t="s">
        <v>245</v>
      </c>
      <c r="B219" s="2">
        <v>45802</v>
      </c>
      <c r="C219" t="s">
        <v>35</v>
      </c>
      <c r="D219" t="s">
        <v>25</v>
      </c>
      <c r="E219" t="s">
        <v>26</v>
      </c>
      <c r="F219" s="1">
        <v>10</v>
      </c>
      <c r="G219" s="1">
        <v>11821.06</v>
      </c>
      <c r="H219" s="1">
        <v>2419.2199999999998</v>
      </c>
    </row>
    <row r="220" spans="1:8" x14ac:dyDescent="0.25">
      <c r="A220" t="s">
        <v>246</v>
      </c>
      <c r="B220" s="2">
        <v>45786</v>
      </c>
      <c r="C220" t="s">
        <v>9</v>
      </c>
      <c r="D220" t="s">
        <v>13</v>
      </c>
      <c r="E220" t="s">
        <v>14</v>
      </c>
      <c r="F220" s="1">
        <v>4</v>
      </c>
      <c r="G220" s="1">
        <v>3885.79</v>
      </c>
      <c r="H220" s="1">
        <v>456.07</v>
      </c>
    </row>
    <row r="221" spans="1:8" x14ac:dyDescent="0.25">
      <c r="A221" t="s">
        <v>247</v>
      </c>
      <c r="B221" s="2">
        <v>45922</v>
      </c>
      <c r="C221" t="s">
        <v>9</v>
      </c>
      <c r="D221" t="s">
        <v>57</v>
      </c>
      <c r="E221" t="s">
        <v>14</v>
      </c>
      <c r="F221" s="1">
        <v>9</v>
      </c>
      <c r="G221" s="1">
        <v>10119.94</v>
      </c>
      <c r="H221" s="1">
        <v>2753.42</v>
      </c>
    </row>
    <row r="222" spans="1:8" x14ac:dyDescent="0.25">
      <c r="A222" t="s">
        <v>248</v>
      </c>
      <c r="B222" s="2">
        <v>45733</v>
      </c>
      <c r="C222" t="s">
        <v>35</v>
      </c>
      <c r="D222" t="s">
        <v>33</v>
      </c>
      <c r="E222" t="s">
        <v>26</v>
      </c>
      <c r="F222" s="1">
        <v>3</v>
      </c>
      <c r="G222" s="1">
        <v>1091.1300000000001</v>
      </c>
      <c r="H222" s="1">
        <v>354</v>
      </c>
    </row>
    <row r="223" spans="1:8" x14ac:dyDescent="0.25">
      <c r="A223" t="s">
        <v>249</v>
      </c>
      <c r="B223" s="2">
        <v>45870</v>
      </c>
      <c r="C223" t="s">
        <v>9</v>
      </c>
      <c r="D223" t="s">
        <v>10</v>
      </c>
      <c r="E223" t="s">
        <v>11</v>
      </c>
      <c r="F223" s="1">
        <v>8</v>
      </c>
      <c r="G223" s="1">
        <v>8538.59</v>
      </c>
      <c r="H223" s="1">
        <v>2828.22</v>
      </c>
    </row>
    <row r="224" spans="1:8" x14ac:dyDescent="0.25">
      <c r="A224" t="s">
        <v>250</v>
      </c>
      <c r="B224" s="2">
        <v>45849</v>
      </c>
      <c r="C224" t="s">
        <v>28</v>
      </c>
      <c r="D224" t="s">
        <v>23</v>
      </c>
      <c r="E224" t="s">
        <v>14</v>
      </c>
      <c r="F224" s="1">
        <v>6</v>
      </c>
      <c r="G224" s="1">
        <v>1926.87</v>
      </c>
      <c r="H224" s="1">
        <v>671.56</v>
      </c>
    </row>
    <row r="225" spans="1:8" x14ac:dyDescent="0.25">
      <c r="A225" t="s">
        <v>251</v>
      </c>
      <c r="B225" s="2">
        <v>45732</v>
      </c>
      <c r="C225" t="s">
        <v>28</v>
      </c>
      <c r="D225" t="s">
        <v>20</v>
      </c>
      <c r="E225" t="s">
        <v>11</v>
      </c>
      <c r="F225" s="1">
        <v>2</v>
      </c>
      <c r="G225" s="1">
        <v>2030.11</v>
      </c>
      <c r="H225" s="1">
        <v>518.66999999999996</v>
      </c>
    </row>
    <row r="226" spans="1:8" x14ac:dyDescent="0.25">
      <c r="A226" t="s">
        <v>252</v>
      </c>
      <c r="B226" s="2">
        <v>46019</v>
      </c>
      <c r="C226" t="s">
        <v>35</v>
      </c>
      <c r="D226" t="s">
        <v>20</v>
      </c>
      <c r="E226" t="s">
        <v>11</v>
      </c>
      <c r="F226" s="1">
        <v>8</v>
      </c>
      <c r="G226" s="1">
        <v>6803.86</v>
      </c>
      <c r="H226" s="1">
        <v>799.28</v>
      </c>
    </row>
    <row r="227" spans="1:8" x14ac:dyDescent="0.25">
      <c r="A227" t="s">
        <v>253</v>
      </c>
      <c r="B227" s="2">
        <v>45768</v>
      </c>
      <c r="C227" t="s">
        <v>28</v>
      </c>
      <c r="D227" t="s">
        <v>23</v>
      </c>
      <c r="E227" t="s">
        <v>14</v>
      </c>
      <c r="F227" s="1">
        <v>1</v>
      </c>
      <c r="G227" s="1">
        <v>1091.74</v>
      </c>
      <c r="H227" s="1">
        <v>92.94</v>
      </c>
    </row>
    <row r="228" spans="1:8" x14ac:dyDescent="0.25">
      <c r="A228" t="s">
        <v>254</v>
      </c>
      <c r="B228" s="2">
        <v>45780</v>
      </c>
      <c r="C228" t="s">
        <v>35</v>
      </c>
      <c r="D228" t="s">
        <v>13</v>
      </c>
      <c r="E228" t="s">
        <v>14</v>
      </c>
      <c r="F228" s="1">
        <v>5</v>
      </c>
      <c r="G228" s="1">
        <v>1616.43</v>
      </c>
      <c r="H228" s="1">
        <v>182.49</v>
      </c>
    </row>
    <row r="229" spans="1:8" x14ac:dyDescent="0.25">
      <c r="A229" t="s">
        <v>255</v>
      </c>
      <c r="B229" s="2">
        <v>45932</v>
      </c>
      <c r="C229" t="s">
        <v>9</v>
      </c>
      <c r="D229" t="s">
        <v>13</v>
      </c>
      <c r="E229" t="s">
        <v>14</v>
      </c>
      <c r="F229" s="1">
        <v>2</v>
      </c>
      <c r="G229" s="1">
        <v>2024.38</v>
      </c>
      <c r="H229" s="1">
        <v>435.15</v>
      </c>
    </row>
    <row r="230" spans="1:8" x14ac:dyDescent="0.25">
      <c r="A230" t="s">
        <v>256</v>
      </c>
      <c r="B230" s="2">
        <v>45838</v>
      </c>
      <c r="C230" t="s">
        <v>28</v>
      </c>
      <c r="D230" t="s">
        <v>16</v>
      </c>
      <c r="E230" t="s">
        <v>17</v>
      </c>
      <c r="F230" s="1">
        <v>3</v>
      </c>
      <c r="G230" s="1">
        <v>1154.8900000000001</v>
      </c>
      <c r="H230" s="1">
        <v>92.88</v>
      </c>
    </row>
    <row r="231" spans="1:8" x14ac:dyDescent="0.25">
      <c r="A231" t="s">
        <v>257</v>
      </c>
      <c r="B231" s="2">
        <v>45927</v>
      </c>
      <c r="C231" t="s">
        <v>9</v>
      </c>
      <c r="D231" t="s">
        <v>13</v>
      </c>
      <c r="E231" t="s">
        <v>14</v>
      </c>
      <c r="F231" s="1">
        <v>2</v>
      </c>
      <c r="G231" s="1">
        <v>1304.01</v>
      </c>
      <c r="H231" s="1">
        <v>231.28</v>
      </c>
    </row>
    <row r="232" spans="1:8" x14ac:dyDescent="0.25">
      <c r="A232" t="s">
        <v>258</v>
      </c>
      <c r="B232" s="2">
        <v>45787</v>
      </c>
      <c r="C232" t="s">
        <v>9</v>
      </c>
      <c r="D232" t="s">
        <v>57</v>
      </c>
      <c r="E232" t="s">
        <v>14</v>
      </c>
      <c r="F232" s="1">
        <v>1</v>
      </c>
      <c r="G232" s="1">
        <v>781.02</v>
      </c>
      <c r="H232" s="1">
        <v>269.36</v>
      </c>
    </row>
    <row r="233" spans="1:8" x14ac:dyDescent="0.25">
      <c r="A233" t="s">
        <v>259</v>
      </c>
      <c r="B233" s="2">
        <v>45711</v>
      </c>
      <c r="C233" t="s">
        <v>22</v>
      </c>
      <c r="D233" t="s">
        <v>33</v>
      </c>
      <c r="E233" t="s">
        <v>26</v>
      </c>
      <c r="F233" s="1">
        <v>6</v>
      </c>
      <c r="G233" s="1">
        <v>1963.77</v>
      </c>
      <c r="H233" s="1">
        <v>505.51</v>
      </c>
    </row>
    <row r="234" spans="1:8" x14ac:dyDescent="0.25">
      <c r="A234" t="s">
        <v>260</v>
      </c>
      <c r="B234" s="2">
        <v>45747</v>
      </c>
      <c r="C234" t="s">
        <v>35</v>
      </c>
      <c r="D234" t="s">
        <v>48</v>
      </c>
      <c r="E234" t="s">
        <v>17</v>
      </c>
      <c r="F234" s="1">
        <v>6</v>
      </c>
      <c r="G234" s="1">
        <v>4067.49</v>
      </c>
      <c r="H234" s="1">
        <v>1218.81</v>
      </c>
    </row>
    <row r="235" spans="1:8" x14ac:dyDescent="0.25">
      <c r="A235" t="s">
        <v>261</v>
      </c>
      <c r="B235" s="2">
        <v>45892</v>
      </c>
      <c r="C235" t="s">
        <v>9</v>
      </c>
      <c r="D235" t="s">
        <v>23</v>
      </c>
      <c r="E235" t="s">
        <v>14</v>
      </c>
      <c r="F235" s="1">
        <v>3</v>
      </c>
      <c r="G235" s="1">
        <v>2949.67</v>
      </c>
      <c r="H235" s="1">
        <v>286.23</v>
      </c>
    </row>
    <row r="236" spans="1:8" x14ac:dyDescent="0.25">
      <c r="A236" t="s">
        <v>262</v>
      </c>
      <c r="B236" s="2">
        <v>45819</v>
      </c>
      <c r="C236" t="s">
        <v>22</v>
      </c>
      <c r="D236" t="s">
        <v>33</v>
      </c>
      <c r="E236" t="s">
        <v>26</v>
      </c>
      <c r="F236" s="1">
        <v>1</v>
      </c>
      <c r="G236" s="1">
        <v>959.78</v>
      </c>
      <c r="H236" s="1">
        <v>306.33</v>
      </c>
    </row>
    <row r="237" spans="1:8" x14ac:dyDescent="0.25">
      <c r="A237" t="s">
        <v>263</v>
      </c>
      <c r="B237" s="2">
        <v>45755</v>
      </c>
      <c r="C237" t="s">
        <v>22</v>
      </c>
      <c r="D237" t="s">
        <v>23</v>
      </c>
      <c r="E237" t="s">
        <v>14</v>
      </c>
      <c r="F237" s="1">
        <v>8</v>
      </c>
      <c r="G237" s="1">
        <v>2730.49</v>
      </c>
      <c r="H237" s="1">
        <v>773.79</v>
      </c>
    </row>
    <row r="238" spans="1:8" x14ac:dyDescent="0.25">
      <c r="A238" t="s">
        <v>264</v>
      </c>
      <c r="B238" s="2">
        <v>45881</v>
      </c>
      <c r="C238" t="s">
        <v>35</v>
      </c>
      <c r="D238" t="s">
        <v>33</v>
      </c>
      <c r="E238" t="s">
        <v>26</v>
      </c>
      <c r="F238" s="1">
        <v>6</v>
      </c>
      <c r="G238" s="1">
        <v>2185.19</v>
      </c>
      <c r="H238" s="1">
        <v>646.42999999999995</v>
      </c>
    </row>
    <row r="239" spans="1:8" x14ac:dyDescent="0.25">
      <c r="A239" t="s">
        <v>265</v>
      </c>
      <c r="B239" s="2">
        <v>45912</v>
      </c>
      <c r="C239" t="s">
        <v>22</v>
      </c>
      <c r="D239" t="s">
        <v>57</v>
      </c>
      <c r="E239" t="s">
        <v>14</v>
      </c>
      <c r="F239" s="1">
        <v>6</v>
      </c>
      <c r="G239" s="1">
        <v>7018.69</v>
      </c>
      <c r="H239" s="1">
        <v>1501.82</v>
      </c>
    </row>
    <row r="240" spans="1:8" x14ac:dyDescent="0.25">
      <c r="A240" t="s">
        <v>266</v>
      </c>
      <c r="B240" s="2">
        <v>45750</v>
      </c>
      <c r="C240" t="s">
        <v>22</v>
      </c>
      <c r="D240" t="s">
        <v>33</v>
      </c>
      <c r="E240" t="s">
        <v>26</v>
      </c>
      <c r="F240" s="1">
        <v>7</v>
      </c>
      <c r="G240" s="1">
        <v>985.36</v>
      </c>
      <c r="H240" s="1">
        <v>239.11</v>
      </c>
    </row>
    <row r="241" spans="1:8" x14ac:dyDescent="0.25">
      <c r="A241" t="s">
        <v>267</v>
      </c>
      <c r="B241" s="2">
        <v>45886</v>
      </c>
      <c r="C241" t="s">
        <v>35</v>
      </c>
      <c r="D241" t="s">
        <v>33</v>
      </c>
      <c r="E241" t="s">
        <v>26</v>
      </c>
      <c r="F241" s="1">
        <v>2</v>
      </c>
      <c r="G241" s="1">
        <v>854.22</v>
      </c>
      <c r="H241" s="1">
        <v>136.52000000000001</v>
      </c>
    </row>
    <row r="242" spans="1:8" x14ac:dyDescent="0.25">
      <c r="A242" t="s">
        <v>268</v>
      </c>
      <c r="B242" s="2">
        <v>45838</v>
      </c>
      <c r="C242" t="s">
        <v>35</v>
      </c>
      <c r="D242" t="s">
        <v>16</v>
      </c>
      <c r="E242" t="s">
        <v>17</v>
      </c>
      <c r="F242" s="1">
        <v>8</v>
      </c>
      <c r="G242" s="1">
        <v>3634.23</v>
      </c>
      <c r="H242" s="1">
        <v>332.3</v>
      </c>
    </row>
    <row r="243" spans="1:8" x14ac:dyDescent="0.25">
      <c r="A243" t="s">
        <v>269</v>
      </c>
      <c r="B243" s="2">
        <v>45844</v>
      </c>
      <c r="C243" t="s">
        <v>28</v>
      </c>
      <c r="D243" t="s">
        <v>25</v>
      </c>
      <c r="E243" t="s">
        <v>26</v>
      </c>
      <c r="F243" s="1">
        <v>1</v>
      </c>
      <c r="G243" s="1">
        <v>136.30000000000001</v>
      </c>
      <c r="H243" s="1">
        <v>34.369999999999997</v>
      </c>
    </row>
    <row r="244" spans="1:8" x14ac:dyDescent="0.25">
      <c r="A244" t="s">
        <v>270</v>
      </c>
      <c r="B244" s="2">
        <v>45722</v>
      </c>
      <c r="C244" t="s">
        <v>9</v>
      </c>
      <c r="D244" t="s">
        <v>10</v>
      </c>
      <c r="E244" t="s">
        <v>11</v>
      </c>
      <c r="F244" s="1">
        <v>10</v>
      </c>
      <c r="G244" s="1">
        <v>8298.02</v>
      </c>
      <c r="H244" s="1">
        <v>1645.55</v>
      </c>
    </row>
    <row r="245" spans="1:8" x14ac:dyDescent="0.25">
      <c r="A245" t="s">
        <v>271</v>
      </c>
      <c r="B245" s="2">
        <v>45674</v>
      </c>
      <c r="C245" t="s">
        <v>28</v>
      </c>
      <c r="D245" t="s">
        <v>16</v>
      </c>
      <c r="E245" t="s">
        <v>17</v>
      </c>
      <c r="F245" s="1">
        <v>6</v>
      </c>
      <c r="G245" s="1">
        <v>2798.84</v>
      </c>
      <c r="H245" s="1">
        <v>941.41</v>
      </c>
    </row>
    <row r="246" spans="1:8" x14ac:dyDescent="0.25">
      <c r="A246" t="s">
        <v>272</v>
      </c>
      <c r="B246" s="2">
        <v>45728</v>
      </c>
      <c r="C246" t="s">
        <v>22</v>
      </c>
      <c r="D246" t="s">
        <v>57</v>
      </c>
      <c r="E246" t="s">
        <v>14</v>
      </c>
      <c r="F246" s="1">
        <v>6</v>
      </c>
      <c r="G246" s="1">
        <v>3363.18</v>
      </c>
      <c r="H246" s="1">
        <v>338.87</v>
      </c>
    </row>
    <row r="247" spans="1:8" x14ac:dyDescent="0.25">
      <c r="A247" t="s">
        <v>273</v>
      </c>
      <c r="B247" s="2">
        <v>45753</v>
      </c>
      <c r="C247" t="s">
        <v>35</v>
      </c>
      <c r="D247" t="s">
        <v>57</v>
      </c>
      <c r="E247" t="s">
        <v>14</v>
      </c>
      <c r="F247" s="1">
        <v>5</v>
      </c>
      <c r="G247" s="1">
        <v>1685.27</v>
      </c>
      <c r="H247" s="1">
        <v>186.44</v>
      </c>
    </row>
    <row r="248" spans="1:8" x14ac:dyDescent="0.25">
      <c r="A248" t="s">
        <v>274</v>
      </c>
      <c r="B248" s="2">
        <v>45886</v>
      </c>
      <c r="C248" t="s">
        <v>28</v>
      </c>
      <c r="D248" t="s">
        <v>23</v>
      </c>
      <c r="E248" t="s">
        <v>14</v>
      </c>
      <c r="F248" s="1">
        <v>2</v>
      </c>
      <c r="G248" s="1">
        <v>702.09</v>
      </c>
      <c r="H248" s="1">
        <v>105.51</v>
      </c>
    </row>
    <row r="249" spans="1:8" x14ac:dyDescent="0.25">
      <c r="A249" t="s">
        <v>275</v>
      </c>
      <c r="B249" s="2">
        <v>45695</v>
      </c>
      <c r="C249" t="s">
        <v>35</v>
      </c>
      <c r="D249" t="s">
        <v>25</v>
      </c>
      <c r="E249" t="s">
        <v>26</v>
      </c>
      <c r="F249" s="1">
        <v>8</v>
      </c>
      <c r="G249" s="1">
        <v>2241.64</v>
      </c>
      <c r="H249" s="1">
        <v>261.48</v>
      </c>
    </row>
    <row r="250" spans="1:8" x14ac:dyDescent="0.25">
      <c r="A250" t="s">
        <v>276</v>
      </c>
      <c r="B250" s="2">
        <v>45821</v>
      </c>
      <c r="C250" t="s">
        <v>22</v>
      </c>
      <c r="D250" t="s">
        <v>16</v>
      </c>
      <c r="E250" t="s">
        <v>17</v>
      </c>
      <c r="F250" s="1">
        <v>8</v>
      </c>
      <c r="G250" s="1">
        <v>9574.81</v>
      </c>
      <c r="H250" s="1">
        <v>2861.32</v>
      </c>
    </row>
    <row r="251" spans="1:8" x14ac:dyDescent="0.25">
      <c r="A251" t="s">
        <v>277</v>
      </c>
      <c r="B251" s="2">
        <v>45738</v>
      </c>
      <c r="C251" t="s">
        <v>28</v>
      </c>
      <c r="D251" t="s">
        <v>41</v>
      </c>
      <c r="E251" t="s">
        <v>11</v>
      </c>
      <c r="F251" s="1">
        <v>9</v>
      </c>
      <c r="G251" s="1">
        <v>3455.25</v>
      </c>
      <c r="H251" s="1">
        <v>556.25</v>
      </c>
    </row>
    <row r="252" spans="1:8" x14ac:dyDescent="0.25">
      <c r="A252" t="s">
        <v>278</v>
      </c>
      <c r="B252" s="2">
        <v>45729</v>
      </c>
      <c r="C252" t="s">
        <v>28</v>
      </c>
      <c r="D252" t="s">
        <v>25</v>
      </c>
      <c r="E252" t="s">
        <v>26</v>
      </c>
      <c r="F252" s="1">
        <v>4</v>
      </c>
      <c r="G252" s="1">
        <v>758.27</v>
      </c>
      <c r="H252" s="1">
        <v>101.81</v>
      </c>
    </row>
    <row r="253" spans="1:8" x14ac:dyDescent="0.25">
      <c r="A253" t="s">
        <v>279</v>
      </c>
      <c r="B253" s="2">
        <v>45940</v>
      </c>
      <c r="C253" t="s">
        <v>28</v>
      </c>
      <c r="D253" t="s">
        <v>13</v>
      </c>
      <c r="E253" t="s">
        <v>14</v>
      </c>
      <c r="F253" s="1">
        <v>6</v>
      </c>
      <c r="G253" s="1">
        <v>4122.75</v>
      </c>
      <c r="H253" s="1">
        <v>740.47</v>
      </c>
    </row>
    <row r="254" spans="1:8" x14ac:dyDescent="0.25">
      <c r="A254" t="s">
        <v>280</v>
      </c>
      <c r="B254" s="2">
        <v>45903</v>
      </c>
      <c r="C254" t="s">
        <v>35</v>
      </c>
      <c r="D254" t="s">
        <v>10</v>
      </c>
      <c r="E254" t="s">
        <v>11</v>
      </c>
      <c r="F254" s="1">
        <v>5</v>
      </c>
      <c r="G254" s="1">
        <v>2539.42</v>
      </c>
      <c r="H254" s="1">
        <v>694.71</v>
      </c>
    </row>
    <row r="255" spans="1:8" x14ac:dyDescent="0.25">
      <c r="A255" t="s">
        <v>281</v>
      </c>
      <c r="B255" s="2">
        <v>45695</v>
      </c>
      <c r="C255" t="s">
        <v>35</v>
      </c>
      <c r="D255" t="s">
        <v>23</v>
      </c>
      <c r="E255" t="s">
        <v>14</v>
      </c>
      <c r="F255" s="1">
        <v>2</v>
      </c>
      <c r="G255" s="1">
        <v>388.25</v>
      </c>
      <c r="H255" s="1">
        <v>64.290000000000006</v>
      </c>
    </row>
    <row r="256" spans="1:8" x14ac:dyDescent="0.25">
      <c r="A256" t="s">
        <v>282</v>
      </c>
      <c r="B256" s="2">
        <v>45940</v>
      </c>
      <c r="C256" t="s">
        <v>28</v>
      </c>
      <c r="D256" t="s">
        <v>23</v>
      </c>
      <c r="E256" t="s">
        <v>14</v>
      </c>
      <c r="F256" s="1">
        <v>9</v>
      </c>
      <c r="G256" s="1">
        <v>4015.73</v>
      </c>
      <c r="H256" s="1">
        <v>1273.18</v>
      </c>
    </row>
    <row r="257" spans="1:8" x14ac:dyDescent="0.25">
      <c r="A257" t="s">
        <v>283</v>
      </c>
      <c r="B257" s="2">
        <v>45721</v>
      </c>
      <c r="C257" t="s">
        <v>28</v>
      </c>
      <c r="D257" t="s">
        <v>55</v>
      </c>
      <c r="E257" t="s">
        <v>17</v>
      </c>
      <c r="F257" s="1">
        <v>9</v>
      </c>
      <c r="G257" s="1">
        <v>9875.8700000000008</v>
      </c>
      <c r="H257" s="1">
        <v>937.83</v>
      </c>
    </row>
    <row r="258" spans="1:8" x14ac:dyDescent="0.25">
      <c r="A258" t="s">
        <v>284</v>
      </c>
      <c r="B258" s="2">
        <v>45835</v>
      </c>
      <c r="C258" t="s">
        <v>22</v>
      </c>
      <c r="D258" t="s">
        <v>33</v>
      </c>
      <c r="E258" t="s">
        <v>26</v>
      </c>
      <c r="F258" s="1">
        <v>3</v>
      </c>
      <c r="G258" s="1">
        <v>1263.18</v>
      </c>
      <c r="H258" s="1">
        <v>342.98</v>
      </c>
    </row>
    <row r="259" spans="1:8" x14ac:dyDescent="0.25">
      <c r="A259" t="s">
        <v>285</v>
      </c>
      <c r="B259" s="2">
        <v>45722</v>
      </c>
      <c r="C259" t="s">
        <v>22</v>
      </c>
      <c r="D259" t="s">
        <v>20</v>
      </c>
      <c r="E259" t="s">
        <v>11</v>
      </c>
      <c r="F259" s="1">
        <v>4</v>
      </c>
      <c r="G259" s="1">
        <v>3121.26</v>
      </c>
      <c r="H259" s="1">
        <v>713.92</v>
      </c>
    </row>
    <row r="260" spans="1:8" x14ac:dyDescent="0.25">
      <c r="A260" t="s">
        <v>286</v>
      </c>
      <c r="B260" s="2">
        <v>45745</v>
      </c>
      <c r="C260" t="s">
        <v>22</v>
      </c>
      <c r="D260" t="s">
        <v>41</v>
      </c>
      <c r="E260" t="s">
        <v>11</v>
      </c>
      <c r="F260" s="1">
        <v>3</v>
      </c>
      <c r="G260" s="1">
        <v>2191.7399999999998</v>
      </c>
      <c r="H260" s="1">
        <v>518.95000000000005</v>
      </c>
    </row>
    <row r="261" spans="1:8" x14ac:dyDescent="0.25">
      <c r="A261" t="s">
        <v>287</v>
      </c>
      <c r="B261" s="2">
        <v>45953</v>
      </c>
      <c r="C261" t="s">
        <v>22</v>
      </c>
      <c r="D261" t="s">
        <v>10</v>
      </c>
      <c r="E261" t="s">
        <v>11</v>
      </c>
      <c r="F261" s="1">
        <v>2</v>
      </c>
      <c r="G261" s="1">
        <v>204.56</v>
      </c>
      <c r="H261" s="1">
        <v>51.79</v>
      </c>
    </row>
    <row r="262" spans="1:8" x14ac:dyDescent="0.25">
      <c r="A262" t="s">
        <v>288</v>
      </c>
      <c r="B262" s="2">
        <v>45979</v>
      </c>
      <c r="C262" t="s">
        <v>22</v>
      </c>
      <c r="D262" t="s">
        <v>16</v>
      </c>
      <c r="E262" t="s">
        <v>17</v>
      </c>
      <c r="F262" s="1">
        <v>7</v>
      </c>
      <c r="G262" s="1">
        <v>5325.77</v>
      </c>
      <c r="H262" s="1">
        <v>469.61</v>
      </c>
    </row>
    <row r="263" spans="1:8" x14ac:dyDescent="0.25">
      <c r="A263" t="s">
        <v>289</v>
      </c>
      <c r="B263" s="2">
        <v>45810</v>
      </c>
      <c r="C263" t="s">
        <v>35</v>
      </c>
      <c r="D263" t="s">
        <v>30</v>
      </c>
      <c r="E263" t="s">
        <v>26</v>
      </c>
      <c r="F263" s="1">
        <v>4</v>
      </c>
      <c r="G263" s="1">
        <v>3901.57</v>
      </c>
      <c r="H263" s="1">
        <v>1033.71</v>
      </c>
    </row>
    <row r="264" spans="1:8" x14ac:dyDescent="0.25">
      <c r="A264" t="s">
        <v>290</v>
      </c>
      <c r="B264" s="2">
        <v>45895</v>
      </c>
      <c r="C264" t="s">
        <v>28</v>
      </c>
      <c r="D264" t="s">
        <v>41</v>
      </c>
      <c r="E264" t="s">
        <v>11</v>
      </c>
      <c r="F264" s="1">
        <v>1</v>
      </c>
      <c r="G264" s="1">
        <v>231.79</v>
      </c>
      <c r="H264" s="1">
        <v>44.55</v>
      </c>
    </row>
    <row r="265" spans="1:8" x14ac:dyDescent="0.25">
      <c r="A265" t="s">
        <v>291</v>
      </c>
      <c r="B265" s="2">
        <v>45834</v>
      </c>
      <c r="C265" t="s">
        <v>35</v>
      </c>
      <c r="D265" t="s">
        <v>25</v>
      </c>
      <c r="E265" t="s">
        <v>26</v>
      </c>
      <c r="F265" s="1">
        <v>3</v>
      </c>
      <c r="G265" s="1">
        <v>1228.4100000000001</v>
      </c>
      <c r="H265" s="1">
        <v>336.53</v>
      </c>
    </row>
    <row r="266" spans="1:8" x14ac:dyDescent="0.25">
      <c r="A266" t="s">
        <v>292</v>
      </c>
      <c r="B266" s="2">
        <v>45896</v>
      </c>
      <c r="C266" t="s">
        <v>9</v>
      </c>
      <c r="D266" t="s">
        <v>55</v>
      </c>
      <c r="E266" t="s">
        <v>17</v>
      </c>
      <c r="F266" s="1">
        <v>9</v>
      </c>
      <c r="G266" s="1">
        <v>6263.09</v>
      </c>
      <c r="H266" s="1">
        <v>1040.68</v>
      </c>
    </row>
    <row r="267" spans="1:8" x14ac:dyDescent="0.25">
      <c r="A267" t="s">
        <v>293</v>
      </c>
      <c r="B267" s="2">
        <v>45854</v>
      </c>
      <c r="C267" t="s">
        <v>35</v>
      </c>
      <c r="D267" t="s">
        <v>30</v>
      </c>
      <c r="E267" t="s">
        <v>26</v>
      </c>
      <c r="F267" s="1">
        <v>4</v>
      </c>
      <c r="G267" s="1">
        <v>848.04</v>
      </c>
      <c r="H267" s="1">
        <v>79.430000000000007</v>
      </c>
    </row>
    <row r="268" spans="1:8" x14ac:dyDescent="0.25">
      <c r="A268" t="s">
        <v>294</v>
      </c>
      <c r="B268" s="2">
        <v>45755</v>
      </c>
      <c r="C268" t="s">
        <v>28</v>
      </c>
      <c r="D268" t="s">
        <v>48</v>
      </c>
      <c r="E268" t="s">
        <v>17</v>
      </c>
      <c r="F268" s="1">
        <v>6</v>
      </c>
      <c r="G268" s="1">
        <v>6742.89</v>
      </c>
      <c r="H268" s="1">
        <v>1852.3</v>
      </c>
    </row>
    <row r="269" spans="1:8" x14ac:dyDescent="0.25">
      <c r="A269" t="s">
        <v>295</v>
      </c>
      <c r="B269" s="2">
        <v>45669</v>
      </c>
      <c r="C269" t="s">
        <v>9</v>
      </c>
      <c r="D269" t="s">
        <v>23</v>
      </c>
      <c r="E269" t="s">
        <v>14</v>
      </c>
      <c r="F269" s="1">
        <v>8</v>
      </c>
      <c r="G269" s="1">
        <v>4988.59</v>
      </c>
      <c r="H269" s="1">
        <v>814.67</v>
      </c>
    </row>
    <row r="270" spans="1:8" x14ac:dyDescent="0.25">
      <c r="A270" t="s">
        <v>296</v>
      </c>
      <c r="B270" s="2">
        <v>45838</v>
      </c>
      <c r="C270" t="s">
        <v>9</v>
      </c>
      <c r="D270" t="s">
        <v>23</v>
      </c>
      <c r="E270" t="s">
        <v>14</v>
      </c>
      <c r="F270" s="1">
        <v>8</v>
      </c>
      <c r="G270" s="1">
        <v>9293.52</v>
      </c>
      <c r="H270" s="1">
        <v>1283.33</v>
      </c>
    </row>
    <row r="271" spans="1:8" x14ac:dyDescent="0.25">
      <c r="A271" t="s">
        <v>297</v>
      </c>
      <c r="B271" s="2">
        <v>46002</v>
      </c>
      <c r="C271" t="s">
        <v>35</v>
      </c>
      <c r="D271" t="s">
        <v>20</v>
      </c>
      <c r="E271" t="s">
        <v>11</v>
      </c>
      <c r="F271" s="1">
        <v>8</v>
      </c>
      <c r="G271" s="1">
        <v>5897.17</v>
      </c>
      <c r="H271" s="1">
        <v>1813.79</v>
      </c>
    </row>
    <row r="272" spans="1:8" x14ac:dyDescent="0.25">
      <c r="A272" t="s">
        <v>298</v>
      </c>
      <c r="B272" s="2">
        <v>45793</v>
      </c>
      <c r="C272" t="s">
        <v>22</v>
      </c>
      <c r="D272" t="s">
        <v>25</v>
      </c>
      <c r="E272" t="s">
        <v>26</v>
      </c>
      <c r="F272" s="1">
        <v>1</v>
      </c>
      <c r="G272" s="1">
        <v>1024.25</v>
      </c>
      <c r="H272" s="1">
        <v>201.11</v>
      </c>
    </row>
    <row r="273" spans="1:8" x14ac:dyDescent="0.25">
      <c r="A273" t="s">
        <v>299</v>
      </c>
      <c r="B273" s="2">
        <v>45757</v>
      </c>
      <c r="C273" t="s">
        <v>22</v>
      </c>
      <c r="D273" t="s">
        <v>57</v>
      </c>
      <c r="E273" t="s">
        <v>14</v>
      </c>
      <c r="F273" s="1">
        <v>1</v>
      </c>
      <c r="G273" s="1">
        <v>510.67</v>
      </c>
      <c r="H273" s="1">
        <v>119.48</v>
      </c>
    </row>
    <row r="274" spans="1:8" x14ac:dyDescent="0.25">
      <c r="A274" t="s">
        <v>300</v>
      </c>
      <c r="B274" s="2">
        <v>45801</v>
      </c>
      <c r="C274" t="s">
        <v>9</v>
      </c>
      <c r="D274" t="s">
        <v>33</v>
      </c>
      <c r="E274" t="s">
        <v>26</v>
      </c>
      <c r="F274" s="1">
        <v>7</v>
      </c>
      <c r="G274" s="1">
        <v>4409.26</v>
      </c>
      <c r="H274" s="1">
        <v>1262.76</v>
      </c>
    </row>
    <row r="275" spans="1:8" x14ac:dyDescent="0.25">
      <c r="A275" t="s">
        <v>301</v>
      </c>
      <c r="B275" s="2">
        <v>45943</v>
      </c>
      <c r="C275" t="s">
        <v>22</v>
      </c>
      <c r="D275" t="s">
        <v>48</v>
      </c>
      <c r="E275" t="s">
        <v>17</v>
      </c>
      <c r="F275" s="1">
        <v>7</v>
      </c>
      <c r="G275" s="1">
        <v>3354.25</v>
      </c>
      <c r="H275" s="1">
        <v>1162.02</v>
      </c>
    </row>
    <row r="276" spans="1:8" x14ac:dyDescent="0.25">
      <c r="A276" t="s">
        <v>302</v>
      </c>
      <c r="B276" s="2">
        <v>45681</v>
      </c>
      <c r="C276" t="s">
        <v>9</v>
      </c>
      <c r="D276" t="s">
        <v>48</v>
      </c>
      <c r="E276" t="s">
        <v>17</v>
      </c>
      <c r="F276" s="1">
        <v>10</v>
      </c>
      <c r="G276" s="1">
        <v>6354.91</v>
      </c>
      <c r="H276" s="1">
        <v>1366.44</v>
      </c>
    </row>
    <row r="277" spans="1:8" x14ac:dyDescent="0.25">
      <c r="A277" t="s">
        <v>303</v>
      </c>
      <c r="B277" s="2">
        <v>45734</v>
      </c>
      <c r="C277" t="s">
        <v>28</v>
      </c>
      <c r="D277" t="s">
        <v>16</v>
      </c>
      <c r="E277" t="s">
        <v>17</v>
      </c>
      <c r="F277" s="1">
        <v>6</v>
      </c>
      <c r="G277" s="1">
        <v>5847.36</v>
      </c>
      <c r="H277" s="1">
        <v>1287.7</v>
      </c>
    </row>
    <row r="278" spans="1:8" x14ac:dyDescent="0.25">
      <c r="A278" t="s">
        <v>304</v>
      </c>
      <c r="B278" s="2">
        <v>45811</v>
      </c>
      <c r="C278" t="s">
        <v>22</v>
      </c>
      <c r="D278" t="s">
        <v>25</v>
      </c>
      <c r="E278" t="s">
        <v>26</v>
      </c>
      <c r="F278" s="1">
        <v>6</v>
      </c>
      <c r="G278" s="1">
        <v>1421.26</v>
      </c>
      <c r="H278" s="1">
        <v>493.84</v>
      </c>
    </row>
    <row r="279" spans="1:8" x14ac:dyDescent="0.25">
      <c r="A279" t="s">
        <v>305</v>
      </c>
      <c r="B279" s="2">
        <v>45846</v>
      </c>
      <c r="C279" t="s">
        <v>22</v>
      </c>
      <c r="D279" t="s">
        <v>23</v>
      </c>
      <c r="E279" t="s">
        <v>14</v>
      </c>
      <c r="F279" s="1">
        <v>10</v>
      </c>
      <c r="G279" s="1">
        <v>3947.59</v>
      </c>
      <c r="H279" s="1">
        <v>1185.27</v>
      </c>
    </row>
    <row r="280" spans="1:8" x14ac:dyDescent="0.25">
      <c r="A280" t="s">
        <v>306</v>
      </c>
      <c r="B280" s="2">
        <v>46010</v>
      </c>
      <c r="C280" t="s">
        <v>9</v>
      </c>
      <c r="D280" t="s">
        <v>20</v>
      </c>
      <c r="E280" t="s">
        <v>11</v>
      </c>
      <c r="F280" s="1">
        <v>10</v>
      </c>
      <c r="G280" s="1">
        <v>4038.3</v>
      </c>
      <c r="H280" s="1">
        <v>1303.03</v>
      </c>
    </row>
    <row r="281" spans="1:8" x14ac:dyDescent="0.25">
      <c r="A281" t="s">
        <v>307</v>
      </c>
      <c r="B281" s="2">
        <v>45956</v>
      </c>
      <c r="C281" t="s">
        <v>35</v>
      </c>
      <c r="D281" t="s">
        <v>57</v>
      </c>
      <c r="E281" t="s">
        <v>14</v>
      </c>
      <c r="F281" s="1">
        <v>10</v>
      </c>
      <c r="G281" s="1">
        <v>7142.8</v>
      </c>
      <c r="H281" s="1">
        <v>1962.68</v>
      </c>
    </row>
    <row r="282" spans="1:8" x14ac:dyDescent="0.25">
      <c r="A282" t="s">
        <v>308</v>
      </c>
      <c r="B282" s="2">
        <v>46006</v>
      </c>
      <c r="C282" t="s">
        <v>28</v>
      </c>
      <c r="D282" t="s">
        <v>16</v>
      </c>
      <c r="E282" t="s">
        <v>17</v>
      </c>
      <c r="F282" s="1">
        <v>10</v>
      </c>
      <c r="G282" s="1">
        <v>9407.9699999999993</v>
      </c>
      <c r="H282" s="1">
        <v>1718.38</v>
      </c>
    </row>
    <row r="283" spans="1:8" x14ac:dyDescent="0.25">
      <c r="A283" t="s">
        <v>309</v>
      </c>
      <c r="B283" s="2">
        <v>45872</v>
      </c>
      <c r="C283" t="s">
        <v>28</v>
      </c>
      <c r="D283" t="s">
        <v>41</v>
      </c>
      <c r="E283" t="s">
        <v>11</v>
      </c>
      <c r="F283" s="1">
        <v>2</v>
      </c>
      <c r="G283" s="1">
        <v>538.79999999999995</v>
      </c>
      <c r="H283" s="1">
        <v>107.26</v>
      </c>
    </row>
    <row r="284" spans="1:8" x14ac:dyDescent="0.25">
      <c r="A284" t="s">
        <v>310</v>
      </c>
      <c r="B284" s="2">
        <v>45899</v>
      </c>
      <c r="C284" t="s">
        <v>9</v>
      </c>
      <c r="D284" t="s">
        <v>23</v>
      </c>
      <c r="E284" t="s">
        <v>14</v>
      </c>
      <c r="F284" s="1">
        <v>4</v>
      </c>
      <c r="G284" s="1">
        <v>2087.7399999999998</v>
      </c>
      <c r="H284" s="1">
        <v>603.86</v>
      </c>
    </row>
    <row r="285" spans="1:8" x14ac:dyDescent="0.25">
      <c r="A285" t="s">
        <v>311</v>
      </c>
      <c r="B285" s="2">
        <v>45902</v>
      </c>
      <c r="C285" t="s">
        <v>35</v>
      </c>
      <c r="D285" t="s">
        <v>16</v>
      </c>
      <c r="E285" t="s">
        <v>17</v>
      </c>
      <c r="F285" s="1">
        <v>4</v>
      </c>
      <c r="G285" s="1">
        <v>2780.08</v>
      </c>
      <c r="H285" s="1">
        <v>971.62</v>
      </c>
    </row>
    <row r="286" spans="1:8" x14ac:dyDescent="0.25">
      <c r="A286" t="s">
        <v>312</v>
      </c>
      <c r="B286" s="2">
        <v>45839</v>
      </c>
      <c r="C286" t="s">
        <v>22</v>
      </c>
      <c r="D286" t="s">
        <v>33</v>
      </c>
      <c r="E286" t="s">
        <v>26</v>
      </c>
      <c r="F286" s="1">
        <v>8</v>
      </c>
      <c r="G286" s="1">
        <v>8791.5400000000009</v>
      </c>
      <c r="H286" s="1">
        <v>1515.91</v>
      </c>
    </row>
    <row r="287" spans="1:8" x14ac:dyDescent="0.25">
      <c r="A287" t="s">
        <v>313</v>
      </c>
      <c r="B287" s="2">
        <v>45810</v>
      </c>
      <c r="C287" t="s">
        <v>22</v>
      </c>
      <c r="D287" t="s">
        <v>13</v>
      </c>
      <c r="E287" t="s">
        <v>14</v>
      </c>
      <c r="F287" s="1">
        <v>4</v>
      </c>
      <c r="G287" s="1">
        <v>1483.43</v>
      </c>
      <c r="H287" s="1">
        <v>238.23</v>
      </c>
    </row>
    <row r="288" spans="1:8" x14ac:dyDescent="0.25">
      <c r="A288" t="s">
        <v>314</v>
      </c>
      <c r="B288" s="2">
        <v>45798</v>
      </c>
      <c r="C288" t="s">
        <v>22</v>
      </c>
      <c r="D288" t="s">
        <v>16</v>
      </c>
      <c r="E288" t="s">
        <v>17</v>
      </c>
      <c r="F288" s="1">
        <v>8</v>
      </c>
      <c r="G288" s="1">
        <v>3316.77</v>
      </c>
      <c r="H288" s="1">
        <v>577.70000000000005</v>
      </c>
    </row>
    <row r="289" spans="1:8" x14ac:dyDescent="0.25">
      <c r="A289" t="s">
        <v>315</v>
      </c>
      <c r="B289" s="2">
        <v>45834</v>
      </c>
      <c r="C289" t="s">
        <v>28</v>
      </c>
      <c r="D289" t="s">
        <v>41</v>
      </c>
      <c r="E289" t="s">
        <v>11</v>
      </c>
      <c r="F289" s="1">
        <v>9</v>
      </c>
      <c r="G289" s="1">
        <v>4379.83</v>
      </c>
      <c r="H289" s="1">
        <v>1509.48</v>
      </c>
    </row>
    <row r="290" spans="1:8" x14ac:dyDescent="0.25">
      <c r="A290" t="s">
        <v>316</v>
      </c>
      <c r="B290" s="2">
        <v>45884</v>
      </c>
      <c r="C290" t="s">
        <v>22</v>
      </c>
      <c r="D290" t="s">
        <v>33</v>
      </c>
      <c r="E290" t="s">
        <v>26</v>
      </c>
      <c r="F290" s="1">
        <v>5</v>
      </c>
      <c r="G290" s="1">
        <v>5743.05</v>
      </c>
      <c r="H290" s="1">
        <v>581.99</v>
      </c>
    </row>
    <row r="291" spans="1:8" x14ac:dyDescent="0.25">
      <c r="A291" t="s">
        <v>317</v>
      </c>
      <c r="B291" s="2">
        <v>45945</v>
      </c>
      <c r="C291" t="s">
        <v>22</v>
      </c>
      <c r="D291" t="s">
        <v>13</v>
      </c>
      <c r="E291" t="s">
        <v>14</v>
      </c>
      <c r="F291" s="1">
        <v>4</v>
      </c>
      <c r="G291" s="1">
        <v>4008.58</v>
      </c>
      <c r="H291" s="1">
        <v>614.14</v>
      </c>
    </row>
    <row r="292" spans="1:8" x14ac:dyDescent="0.25">
      <c r="A292" t="s">
        <v>318</v>
      </c>
      <c r="B292" s="2">
        <v>45683</v>
      </c>
      <c r="C292" t="s">
        <v>28</v>
      </c>
      <c r="D292" t="s">
        <v>48</v>
      </c>
      <c r="E292" t="s">
        <v>17</v>
      </c>
      <c r="F292" s="1">
        <v>10</v>
      </c>
      <c r="G292" s="1">
        <v>9020.25</v>
      </c>
      <c r="H292" s="1">
        <v>1304.3800000000001</v>
      </c>
    </row>
    <row r="293" spans="1:8" x14ac:dyDescent="0.25">
      <c r="A293" t="s">
        <v>319</v>
      </c>
      <c r="B293" s="2">
        <v>45709</v>
      </c>
      <c r="C293" t="s">
        <v>28</v>
      </c>
      <c r="D293" t="s">
        <v>48</v>
      </c>
      <c r="E293" t="s">
        <v>17</v>
      </c>
      <c r="F293" s="1">
        <v>2</v>
      </c>
      <c r="G293" s="1">
        <v>1050.5899999999999</v>
      </c>
      <c r="H293" s="1">
        <v>287.52999999999997</v>
      </c>
    </row>
    <row r="294" spans="1:8" x14ac:dyDescent="0.25">
      <c r="A294" t="s">
        <v>320</v>
      </c>
      <c r="B294" s="2">
        <v>45901</v>
      </c>
      <c r="C294" t="s">
        <v>35</v>
      </c>
      <c r="D294" t="s">
        <v>41</v>
      </c>
      <c r="E294" t="s">
        <v>11</v>
      </c>
      <c r="F294" s="1">
        <v>3</v>
      </c>
      <c r="G294" s="1">
        <v>1553.83</v>
      </c>
      <c r="H294" s="1">
        <v>516.58000000000004</v>
      </c>
    </row>
    <row r="295" spans="1:8" x14ac:dyDescent="0.25">
      <c r="A295" t="s">
        <v>321</v>
      </c>
      <c r="B295" s="2">
        <v>45703</v>
      </c>
      <c r="C295" t="s">
        <v>28</v>
      </c>
      <c r="D295" t="s">
        <v>55</v>
      </c>
      <c r="E295" t="s">
        <v>17</v>
      </c>
      <c r="F295" s="1">
        <v>6</v>
      </c>
      <c r="G295" s="1">
        <v>2269.37</v>
      </c>
      <c r="H295" s="1">
        <v>217.8</v>
      </c>
    </row>
    <row r="296" spans="1:8" x14ac:dyDescent="0.25">
      <c r="A296" t="s">
        <v>322</v>
      </c>
      <c r="B296" s="2">
        <v>45676</v>
      </c>
      <c r="C296" t="s">
        <v>35</v>
      </c>
      <c r="D296" t="s">
        <v>10</v>
      </c>
      <c r="E296" t="s">
        <v>11</v>
      </c>
      <c r="F296" s="1">
        <v>7</v>
      </c>
      <c r="G296" s="1">
        <v>7452.07</v>
      </c>
      <c r="H296" s="1">
        <v>949.86</v>
      </c>
    </row>
    <row r="297" spans="1:8" x14ac:dyDescent="0.25">
      <c r="A297" t="s">
        <v>323</v>
      </c>
      <c r="B297" s="2">
        <v>45948</v>
      </c>
      <c r="C297" t="s">
        <v>9</v>
      </c>
      <c r="D297" t="s">
        <v>13</v>
      </c>
      <c r="E297" t="s">
        <v>14</v>
      </c>
      <c r="F297" s="1">
        <v>5</v>
      </c>
      <c r="G297" s="1">
        <v>5291.27</v>
      </c>
      <c r="H297" s="1">
        <v>436.54</v>
      </c>
    </row>
    <row r="298" spans="1:8" x14ac:dyDescent="0.25">
      <c r="A298" t="s">
        <v>324</v>
      </c>
      <c r="B298" s="2">
        <v>45910</v>
      </c>
      <c r="C298" t="s">
        <v>28</v>
      </c>
      <c r="D298" t="s">
        <v>30</v>
      </c>
      <c r="E298" t="s">
        <v>26</v>
      </c>
      <c r="F298" s="1">
        <v>8</v>
      </c>
      <c r="G298" s="1">
        <v>9499.7199999999993</v>
      </c>
      <c r="H298" s="1">
        <v>2153.5</v>
      </c>
    </row>
    <row r="299" spans="1:8" x14ac:dyDescent="0.25">
      <c r="A299" t="s">
        <v>325</v>
      </c>
      <c r="B299" s="2">
        <v>45892</v>
      </c>
      <c r="C299" t="s">
        <v>22</v>
      </c>
      <c r="D299" t="s">
        <v>57</v>
      </c>
      <c r="E299" t="s">
        <v>14</v>
      </c>
      <c r="F299" s="1">
        <v>4</v>
      </c>
      <c r="G299" s="1">
        <v>3920.54</v>
      </c>
      <c r="H299" s="1">
        <v>663.69</v>
      </c>
    </row>
    <row r="300" spans="1:8" x14ac:dyDescent="0.25">
      <c r="A300" t="s">
        <v>326</v>
      </c>
      <c r="B300" s="2">
        <v>45756</v>
      </c>
      <c r="C300" t="s">
        <v>28</v>
      </c>
      <c r="D300" t="s">
        <v>48</v>
      </c>
      <c r="E300" t="s">
        <v>17</v>
      </c>
      <c r="F300" s="1">
        <v>6</v>
      </c>
      <c r="G300" s="1">
        <v>5756.3</v>
      </c>
      <c r="H300" s="1">
        <v>1342.95</v>
      </c>
    </row>
    <row r="301" spans="1:8" x14ac:dyDescent="0.25">
      <c r="A301" t="s">
        <v>327</v>
      </c>
      <c r="B301" s="2">
        <v>45706</v>
      </c>
      <c r="C301" t="s">
        <v>28</v>
      </c>
      <c r="D301" t="s">
        <v>57</v>
      </c>
      <c r="E301" t="s">
        <v>14</v>
      </c>
      <c r="F301" s="1">
        <v>9</v>
      </c>
      <c r="G301" s="1">
        <v>3844.04</v>
      </c>
      <c r="H301" s="1">
        <v>723.54</v>
      </c>
    </row>
    <row r="302" spans="1:8" x14ac:dyDescent="0.25">
      <c r="A302" t="s">
        <v>328</v>
      </c>
      <c r="B302" s="2">
        <v>45854</v>
      </c>
      <c r="C302" t="s">
        <v>28</v>
      </c>
      <c r="D302" t="s">
        <v>55</v>
      </c>
      <c r="E302" t="s">
        <v>17</v>
      </c>
      <c r="F302" s="1">
        <v>6</v>
      </c>
      <c r="G302" s="1">
        <v>6757.2</v>
      </c>
      <c r="H302" s="1">
        <v>553.04</v>
      </c>
    </row>
    <row r="303" spans="1:8" x14ac:dyDescent="0.25">
      <c r="A303" t="s">
        <v>329</v>
      </c>
      <c r="B303" s="2">
        <v>45663</v>
      </c>
      <c r="C303" t="s">
        <v>22</v>
      </c>
      <c r="D303" t="s">
        <v>57</v>
      </c>
      <c r="E303" t="s">
        <v>14</v>
      </c>
      <c r="F303" s="1">
        <v>6</v>
      </c>
      <c r="G303" s="1">
        <v>2383.4299999999998</v>
      </c>
      <c r="H303" s="1">
        <v>655.87</v>
      </c>
    </row>
    <row r="304" spans="1:8" x14ac:dyDescent="0.25">
      <c r="A304" t="s">
        <v>330</v>
      </c>
      <c r="B304" s="2">
        <v>45815</v>
      </c>
      <c r="C304" t="s">
        <v>28</v>
      </c>
      <c r="D304" t="s">
        <v>25</v>
      </c>
      <c r="E304" t="s">
        <v>26</v>
      </c>
      <c r="F304" s="1">
        <v>4</v>
      </c>
      <c r="G304" s="1">
        <v>485.77</v>
      </c>
      <c r="H304" s="1">
        <v>54.37</v>
      </c>
    </row>
    <row r="305" spans="1:8" x14ac:dyDescent="0.25">
      <c r="A305" t="s">
        <v>331</v>
      </c>
      <c r="B305" s="2">
        <v>45817</v>
      </c>
      <c r="C305" t="s">
        <v>9</v>
      </c>
      <c r="D305" t="s">
        <v>23</v>
      </c>
      <c r="E305" t="s">
        <v>14</v>
      </c>
      <c r="F305" s="1">
        <v>9</v>
      </c>
      <c r="G305" s="1">
        <v>10004.15</v>
      </c>
      <c r="H305" s="1">
        <v>3198.39</v>
      </c>
    </row>
    <row r="306" spans="1:8" x14ac:dyDescent="0.25">
      <c r="A306" t="s">
        <v>332</v>
      </c>
      <c r="B306" s="2">
        <v>45902</v>
      </c>
      <c r="C306" t="s">
        <v>28</v>
      </c>
      <c r="D306" t="s">
        <v>30</v>
      </c>
      <c r="E306" t="s">
        <v>26</v>
      </c>
      <c r="F306" s="1">
        <v>10</v>
      </c>
      <c r="G306" s="1">
        <v>3039.77</v>
      </c>
      <c r="H306" s="1">
        <v>1028.92</v>
      </c>
    </row>
    <row r="307" spans="1:8" x14ac:dyDescent="0.25">
      <c r="A307" t="s">
        <v>333</v>
      </c>
      <c r="B307" s="2">
        <v>45899</v>
      </c>
      <c r="C307" t="s">
        <v>28</v>
      </c>
      <c r="D307" t="s">
        <v>23</v>
      </c>
      <c r="E307" t="s">
        <v>14</v>
      </c>
      <c r="F307" s="1">
        <v>10</v>
      </c>
      <c r="G307" s="1">
        <v>4796.6899999999996</v>
      </c>
      <c r="H307" s="1">
        <v>1292.82</v>
      </c>
    </row>
    <row r="308" spans="1:8" x14ac:dyDescent="0.25">
      <c r="A308" t="s">
        <v>334</v>
      </c>
      <c r="B308" s="2">
        <v>45886</v>
      </c>
      <c r="C308" t="s">
        <v>22</v>
      </c>
      <c r="D308" t="s">
        <v>16</v>
      </c>
      <c r="E308" t="s">
        <v>17</v>
      </c>
      <c r="F308" s="1">
        <v>10</v>
      </c>
      <c r="G308" s="1">
        <v>10541.05</v>
      </c>
      <c r="H308" s="1">
        <v>1076.29</v>
      </c>
    </row>
    <row r="309" spans="1:8" x14ac:dyDescent="0.25">
      <c r="A309" t="s">
        <v>335</v>
      </c>
      <c r="B309" s="2">
        <v>45916</v>
      </c>
      <c r="C309" t="s">
        <v>28</v>
      </c>
      <c r="D309" t="s">
        <v>41</v>
      </c>
      <c r="E309" t="s">
        <v>11</v>
      </c>
      <c r="F309" s="1">
        <v>2</v>
      </c>
      <c r="G309" s="1">
        <v>242.04</v>
      </c>
      <c r="H309" s="1">
        <v>55.15</v>
      </c>
    </row>
    <row r="310" spans="1:8" x14ac:dyDescent="0.25">
      <c r="A310" t="s">
        <v>336</v>
      </c>
      <c r="B310" s="2">
        <v>46006</v>
      </c>
      <c r="C310" t="s">
        <v>28</v>
      </c>
      <c r="D310" t="s">
        <v>48</v>
      </c>
      <c r="E310" t="s">
        <v>17</v>
      </c>
      <c r="F310" s="1">
        <v>6</v>
      </c>
      <c r="G310" s="1">
        <v>6195.95</v>
      </c>
      <c r="H310" s="1">
        <v>1234.83</v>
      </c>
    </row>
    <row r="311" spans="1:8" x14ac:dyDescent="0.25">
      <c r="A311" t="s">
        <v>337</v>
      </c>
      <c r="B311" s="2">
        <v>45725</v>
      </c>
      <c r="C311" t="s">
        <v>35</v>
      </c>
      <c r="D311" t="s">
        <v>13</v>
      </c>
      <c r="E311" t="s">
        <v>14</v>
      </c>
      <c r="F311" s="1">
        <v>9</v>
      </c>
      <c r="G311" s="1">
        <v>5060.75</v>
      </c>
      <c r="H311" s="1">
        <v>480.88</v>
      </c>
    </row>
    <row r="312" spans="1:8" x14ac:dyDescent="0.25">
      <c r="A312" t="s">
        <v>338</v>
      </c>
      <c r="B312" s="2">
        <v>45815</v>
      </c>
      <c r="C312" t="s">
        <v>9</v>
      </c>
      <c r="D312" t="s">
        <v>23</v>
      </c>
      <c r="E312" t="s">
        <v>14</v>
      </c>
      <c r="F312" s="1">
        <v>1</v>
      </c>
      <c r="G312" s="1">
        <v>692.62</v>
      </c>
      <c r="H312" s="1">
        <v>181.22</v>
      </c>
    </row>
    <row r="313" spans="1:8" x14ac:dyDescent="0.25">
      <c r="A313" t="s">
        <v>339</v>
      </c>
      <c r="B313" s="2">
        <v>45681</v>
      </c>
      <c r="C313" t="s">
        <v>35</v>
      </c>
      <c r="D313" t="s">
        <v>57</v>
      </c>
      <c r="E313" t="s">
        <v>14</v>
      </c>
      <c r="F313" s="1">
        <v>1</v>
      </c>
      <c r="G313" s="1">
        <v>907.68</v>
      </c>
      <c r="H313" s="1">
        <v>214.34</v>
      </c>
    </row>
    <row r="314" spans="1:8" x14ac:dyDescent="0.25">
      <c r="A314" t="s">
        <v>340</v>
      </c>
      <c r="B314" s="2">
        <v>45693</v>
      </c>
      <c r="C314" t="s">
        <v>35</v>
      </c>
      <c r="D314" t="s">
        <v>25</v>
      </c>
      <c r="E314" t="s">
        <v>26</v>
      </c>
      <c r="F314" s="1">
        <v>2</v>
      </c>
      <c r="G314" s="1">
        <v>1344.68</v>
      </c>
      <c r="H314" s="1">
        <v>129.44999999999999</v>
      </c>
    </row>
    <row r="315" spans="1:8" x14ac:dyDescent="0.25">
      <c r="A315" t="s">
        <v>341</v>
      </c>
      <c r="B315" s="2">
        <v>45986</v>
      </c>
      <c r="C315" t="s">
        <v>35</v>
      </c>
      <c r="D315" t="s">
        <v>20</v>
      </c>
      <c r="E315" t="s">
        <v>11</v>
      </c>
      <c r="F315" s="1">
        <v>7</v>
      </c>
      <c r="G315" s="1">
        <v>1798.85</v>
      </c>
      <c r="H315" s="1">
        <v>209.68</v>
      </c>
    </row>
    <row r="316" spans="1:8" x14ac:dyDescent="0.25">
      <c r="A316" t="s">
        <v>342</v>
      </c>
      <c r="B316" s="2">
        <v>45850</v>
      </c>
      <c r="C316" t="s">
        <v>9</v>
      </c>
      <c r="D316" t="s">
        <v>30</v>
      </c>
      <c r="E316" t="s">
        <v>26</v>
      </c>
      <c r="F316" s="1">
        <v>8</v>
      </c>
      <c r="G316" s="1">
        <v>8400.51</v>
      </c>
      <c r="H316" s="1">
        <v>2728.71</v>
      </c>
    </row>
    <row r="317" spans="1:8" x14ac:dyDescent="0.25">
      <c r="A317" t="s">
        <v>343</v>
      </c>
      <c r="B317" s="2">
        <v>45859</v>
      </c>
      <c r="C317" t="s">
        <v>28</v>
      </c>
      <c r="D317" t="s">
        <v>16</v>
      </c>
      <c r="E317" t="s">
        <v>17</v>
      </c>
      <c r="F317" s="1">
        <v>6</v>
      </c>
      <c r="G317" s="1">
        <v>1118.57</v>
      </c>
      <c r="H317" s="1">
        <v>389.34</v>
      </c>
    </row>
    <row r="318" spans="1:8" x14ac:dyDescent="0.25">
      <c r="A318" t="s">
        <v>344</v>
      </c>
      <c r="B318" s="2">
        <v>45936</v>
      </c>
      <c r="C318" t="s">
        <v>35</v>
      </c>
      <c r="D318" t="s">
        <v>48</v>
      </c>
      <c r="E318" t="s">
        <v>17</v>
      </c>
      <c r="F318" s="1">
        <v>1</v>
      </c>
      <c r="G318" s="1">
        <v>1175.26</v>
      </c>
      <c r="H318" s="1">
        <v>240.94</v>
      </c>
    </row>
    <row r="319" spans="1:8" x14ac:dyDescent="0.25">
      <c r="A319" t="s">
        <v>345</v>
      </c>
      <c r="B319" s="2">
        <v>45754</v>
      </c>
      <c r="C319" t="s">
        <v>9</v>
      </c>
      <c r="D319" t="s">
        <v>13</v>
      </c>
      <c r="E319" t="s">
        <v>14</v>
      </c>
      <c r="F319" s="1">
        <v>4</v>
      </c>
      <c r="G319" s="1">
        <v>2318.88</v>
      </c>
      <c r="H319" s="1">
        <v>282.63</v>
      </c>
    </row>
    <row r="320" spans="1:8" x14ac:dyDescent="0.25">
      <c r="A320" t="s">
        <v>346</v>
      </c>
      <c r="B320" s="2">
        <v>45666</v>
      </c>
      <c r="C320" t="s">
        <v>28</v>
      </c>
      <c r="D320" t="s">
        <v>41</v>
      </c>
      <c r="E320" t="s">
        <v>11</v>
      </c>
      <c r="F320" s="1">
        <v>7</v>
      </c>
      <c r="G320" s="1">
        <v>5300.13</v>
      </c>
      <c r="H320" s="1">
        <v>1763.8</v>
      </c>
    </row>
    <row r="321" spans="1:8" x14ac:dyDescent="0.25">
      <c r="A321" t="s">
        <v>347</v>
      </c>
      <c r="B321" s="2">
        <v>46002</v>
      </c>
      <c r="C321" t="s">
        <v>9</v>
      </c>
      <c r="D321" t="s">
        <v>48</v>
      </c>
      <c r="E321" t="s">
        <v>17</v>
      </c>
      <c r="F321" s="1">
        <v>2</v>
      </c>
      <c r="G321" s="1">
        <v>1466.07</v>
      </c>
      <c r="H321" s="1">
        <v>294</v>
      </c>
    </row>
    <row r="322" spans="1:8" x14ac:dyDescent="0.25">
      <c r="A322" t="s">
        <v>348</v>
      </c>
      <c r="B322" s="2">
        <v>45769</v>
      </c>
      <c r="C322" t="s">
        <v>9</v>
      </c>
      <c r="D322" t="s">
        <v>16</v>
      </c>
      <c r="E322" t="s">
        <v>17</v>
      </c>
      <c r="F322" s="1">
        <v>1</v>
      </c>
      <c r="G322" s="1">
        <v>512.61</v>
      </c>
      <c r="H322" s="1">
        <v>73.44</v>
      </c>
    </row>
    <row r="323" spans="1:8" x14ac:dyDescent="0.25">
      <c r="A323" t="s">
        <v>349</v>
      </c>
      <c r="B323" s="2">
        <v>45952</v>
      </c>
      <c r="C323" t="s">
        <v>22</v>
      </c>
      <c r="D323" t="s">
        <v>16</v>
      </c>
      <c r="E323" t="s">
        <v>17</v>
      </c>
      <c r="F323" s="1">
        <v>5</v>
      </c>
      <c r="G323" s="1">
        <v>1596.43</v>
      </c>
      <c r="H323" s="1">
        <v>522.71</v>
      </c>
    </row>
    <row r="324" spans="1:8" x14ac:dyDescent="0.25">
      <c r="A324" t="s">
        <v>350</v>
      </c>
      <c r="B324" s="2">
        <v>45924</v>
      </c>
      <c r="C324" t="s">
        <v>28</v>
      </c>
      <c r="D324" t="s">
        <v>33</v>
      </c>
      <c r="E324" t="s">
        <v>26</v>
      </c>
      <c r="F324" s="1">
        <v>5</v>
      </c>
      <c r="G324" s="1">
        <v>5288.49</v>
      </c>
      <c r="H324" s="1">
        <v>1830.55</v>
      </c>
    </row>
    <row r="325" spans="1:8" x14ac:dyDescent="0.25">
      <c r="A325" t="s">
        <v>351</v>
      </c>
      <c r="B325" s="2">
        <v>45747</v>
      </c>
      <c r="C325" t="s">
        <v>35</v>
      </c>
      <c r="D325" t="s">
        <v>57</v>
      </c>
      <c r="E325" t="s">
        <v>14</v>
      </c>
      <c r="F325" s="1">
        <v>5</v>
      </c>
      <c r="G325" s="1">
        <v>600.51</v>
      </c>
      <c r="H325" s="1">
        <v>201.83</v>
      </c>
    </row>
    <row r="326" spans="1:8" x14ac:dyDescent="0.25">
      <c r="A326" t="s">
        <v>352</v>
      </c>
      <c r="B326" s="2">
        <v>45926</v>
      </c>
      <c r="C326" t="s">
        <v>22</v>
      </c>
      <c r="D326" t="s">
        <v>13</v>
      </c>
      <c r="E326" t="s">
        <v>14</v>
      </c>
      <c r="F326" s="1">
        <v>6</v>
      </c>
      <c r="G326" s="1">
        <v>6796.95</v>
      </c>
      <c r="H326" s="1">
        <v>1775.79</v>
      </c>
    </row>
    <row r="327" spans="1:8" x14ac:dyDescent="0.25">
      <c r="A327" t="s">
        <v>353</v>
      </c>
      <c r="B327" s="2">
        <v>45933</v>
      </c>
      <c r="C327" t="s">
        <v>35</v>
      </c>
      <c r="D327" t="s">
        <v>57</v>
      </c>
      <c r="E327" t="s">
        <v>14</v>
      </c>
      <c r="F327" s="1">
        <v>3</v>
      </c>
      <c r="G327" s="1">
        <v>1184.6199999999999</v>
      </c>
      <c r="H327" s="1">
        <v>153.58000000000001</v>
      </c>
    </row>
    <row r="328" spans="1:8" x14ac:dyDescent="0.25">
      <c r="A328" t="s">
        <v>354</v>
      </c>
      <c r="B328" s="2">
        <v>45895</v>
      </c>
      <c r="C328" t="s">
        <v>9</v>
      </c>
      <c r="D328" t="s">
        <v>48</v>
      </c>
      <c r="E328" t="s">
        <v>17</v>
      </c>
      <c r="F328" s="1">
        <v>5</v>
      </c>
      <c r="G328" s="1">
        <v>5180.8599999999997</v>
      </c>
      <c r="H328" s="1">
        <v>616.39</v>
      </c>
    </row>
    <row r="329" spans="1:8" x14ac:dyDescent="0.25">
      <c r="A329" t="s">
        <v>355</v>
      </c>
      <c r="B329" s="2">
        <v>45788</v>
      </c>
      <c r="C329" t="s">
        <v>28</v>
      </c>
      <c r="D329" t="s">
        <v>57</v>
      </c>
      <c r="E329" t="s">
        <v>14</v>
      </c>
      <c r="F329" s="1">
        <v>9</v>
      </c>
      <c r="G329" s="1">
        <v>5935.42</v>
      </c>
      <c r="H329" s="1">
        <v>1097.3</v>
      </c>
    </row>
    <row r="330" spans="1:8" x14ac:dyDescent="0.25">
      <c r="A330" t="s">
        <v>356</v>
      </c>
      <c r="B330" s="2">
        <v>45705</v>
      </c>
      <c r="C330" t="s">
        <v>28</v>
      </c>
      <c r="D330" t="s">
        <v>25</v>
      </c>
      <c r="E330" t="s">
        <v>26</v>
      </c>
      <c r="F330" s="1">
        <v>2</v>
      </c>
      <c r="G330" s="1">
        <v>2221.12</v>
      </c>
      <c r="H330" s="1">
        <v>685.72</v>
      </c>
    </row>
    <row r="331" spans="1:8" x14ac:dyDescent="0.25">
      <c r="A331" t="s">
        <v>357</v>
      </c>
      <c r="B331" s="2">
        <v>45695</v>
      </c>
      <c r="C331" t="s">
        <v>28</v>
      </c>
      <c r="D331" t="s">
        <v>20</v>
      </c>
      <c r="E331" t="s">
        <v>11</v>
      </c>
      <c r="F331" s="1">
        <v>7</v>
      </c>
      <c r="G331" s="1">
        <v>5773.06</v>
      </c>
      <c r="H331" s="1">
        <v>1401.64</v>
      </c>
    </row>
    <row r="332" spans="1:8" x14ac:dyDescent="0.25">
      <c r="A332" t="s">
        <v>358</v>
      </c>
      <c r="B332" s="2">
        <v>45665</v>
      </c>
      <c r="C332" t="s">
        <v>28</v>
      </c>
      <c r="D332" t="s">
        <v>55</v>
      </c>
      <c r="E332" t="s">
        <v>17</v>
      </c>
      <c r="F332" s="1">
        <v>4</v>
      </c>
      <c r="G332" s="1">
        <v>4199.58</v>
      </c>
      <c r="H332" s="1">
        <v>713.51</v>
      </c>
    </row>
    <row r="333" spans="1:8" x14ac:dyDescent="0.25">
      <c r="A333" t="s">
        <v>359</v>
      </c>
      <c r="B333" s="2">
        <v>45782</v>
      </c>
      <c r="C333" t="s">
        <v>28</v>
      </c>
      <c r="D333" t="s">
        <v>16</v>
      </c>
      <c r="E333" t="s">
        <v>17</v>
      </c>
      <c r="F333" s="1">
        <v>2</v>
      </c>
      <c r="G333" s="1">
        <v>1817.82</v>
      </c>
      <c r="H333" s="1">
        <v>515.66</v>
      </c>
    </row>
    <row r="334" spans="1:8" x14ac:dyDescent="0.25">
      <c r="A334" t="s">
        <v>360</v>
      </c>
      <c r="B334" s="2">
        <v>45896</v>
      </c>
      <c r="C334" t="s">
        <v>22</v>
      </c>
      <c r="D334" t="s">
        <v>13</v>
      </c>
      <c r="E334" t="s">
        <v>14</v>
      </c>
      <c r="F334" s="1">
        <v>9</v>
      </c>
      <c r="G334" s="1">
        <v>3778.72</v>
      </c>
      <c r="H334" s="1">
        <v>591.09</v>
      </c>
    </row>
    <row r="335" spans="1:8" x14ac:dyDescent="0.25">
      <c r="A335" t="s">
        <v>361</v>
      </c>
      <c r="B335" s="2">
        <v>45708</v>
      </c>
      <c r="C335" t="s">
        <v>35</v>
      </c>
      <c r="D335" t="s">
        <v>30</v>
      </c>
      <c r="E335" t="s">
        <v>26</v>
      </c>
      <c r="F335" s="1">
        <v>6</v>
      </c>
      <c r="G335" s="1">
        <v>3838.43</v>
      </c>
      <c r="H335" s="1">
        <v>822.44</v>
      </c>
    </row>
    <row r="336" spans="1:8" x14ac:dyDescent="0.25">
      <c r="A336" t="s">
        <v>362</v>
      </c>
      <c r="B336" s="2">
        <v>45771</v>
      </c>
      <c r="C336" t="s">
        <v>28</v>
      </c>
      <c r="D336" t="s">
        <v>33</v>
      </c>
      <c r="E336" t="s">
        <v>26</v>
      </c>
      <c r="F336" s="1">
        <v>6</v>
      </c>
      <c r="G336" s="1">
        <v>2459.16</v>
      </c>
      <c r="H336" s="1">
        <v>227.09</v>
      </c>
    </row>
    <row r="337" spans="1:8" x14ac:dyDescent="0.25">
      <c r="A337" t="s">
        <v>363</v>
      </c>
      <c r="B337" s="2">
        <v>45871</v>
      </c>
      <c r="C337" t="s">
        <v>22</v>
      </c>
      <c r="D337" t="s">
        <v>20</v>
      </c>
      <c r="E337" t="s">
        <v>11</v>
      </c>
      <c r="F337" s="1">
        <v>9</v>
      </c>
      <c r="G337" s="1">
        <v>10124.75</v>
      </c>
      <c r="H337" s="1">
        <v>2393.17</v>
      </c>
    </row>
    <row r="338" spans="1:8" x14ac:dyDescent="0.25">
      <c r="A338" t="s">
        <v>364</v>
      </c>
      <c r="B338" s="2">
        <v>45783</v>
      </c>
      <c r="C338" t="s">
        <v>35</v>
      </c>
      <c r="D338" t="s">
        <v>48</v>
      </c>
      <c r="E338" t="s">
        <v>17</v>
      </c>
      <c r="F338" s="1">
        <v>6</v>
      </c>
      <c r="G338" s="1">
        <v>1887.13</v>
      </c>
      <c r="H338" s="1">
        <v>441.29</v>
      </c>
    </row>
    <row r="339" spans="1:8" x14ac:dyDescent="0.25">
      <c r="A339" t="s">
        <v>365</v>
      </c>
      <c r="B339" s="2">
        <v>45909</v>
      </c>
      <c r="C339" t="s">
        <v>35</v>
      </c>
      <c r="D339" t="s">
        <v>30</v>
      </c>
      <c r="E339" t="s">
        <v>26</v>
      </c>
      <c r="F339" s="1">
        <v>8</v>
      </c>
      <c r="G339" s="1">
        <v>9291.8799999999992</v>
      </c>
      <c r="H339" s="1">
        <v>2353.2399999999998</v>
      </c>
    </row>
    <row r="340" spans="1:8" x14ac:dyDescent="0.25">
      <c r="A340" t="s">
        <v>366</v>
      </c>
      <c r="B340" s="2">
        <v>45908</v>
      </c>
      <c r="C340" t="s">
        <v>28</v>
      </c>
      <c r="D340" t="s">
        <v>16</v>
      </c>
      <c r="E340" t="s">
        <v>17</v>
      </c>
      <c r="F340" s="1">
        <v>6</v>
      </c>
      <c r="G340" s="1">
        <v>1467.93</v>
      </c>
      <c r="H340" s="1">
        <v>402.92</v>
      </c>
    </row>
    <row r="341" spans="1:8" x14ac:dyDescent="0.25">
      <c r="A341" t="s">
        <v>367</v>
      </c>
      <c r="B341" s="2">
        <v>46000</v>
      </c>
      <c r="C341" t="s">
        <v>9</v>
      </c>
      <c r="D341" t="s">
        <v>41</v>
      </c>
      <c r="E341" t="s">
        <v>11</v>
      </c>
      <c r="F341" s="1">
        <v>1</v>
      </c>
      <c r="G341" s="1">
        <v>1014.93</v>
      </c>
      <c r="H341" s="1">
        <v>101.56</v>
      </c>
    </row>
    <row r="342" spans="1:8" x14ac:dyDescent="0.25">
      <c r="A342" t="s">
        <v>368</v>
      </c>
      <c r="B342" s="2">
        <v>46020</v>
      </c>
      <c r="C342" t="s">
        <v>28</v>
      </c>
      <c r="D342" t="s">
        <v>20</v>
      </c>
      <c r="E342" t="s">
        <v>11</v>
      </c>
      <c r="F342" s="1">
        <v>3</v>
      </c>
      <c r="G342" s="1">
        <v>3056.78</v>
      </c>
      <c r="H342" s="1">
        <v>435.55</v>
      </c>
    </row>
    <row r="343" spans="1:8" x14ac:dyDescent="0.25">
      <c r="A343" t="s">
        <v>369</v>
      </c>
      <c r="B343" s="2">
        <v>45984</v>
      </c>
      <c r="C343" t="s">
        <v>35</v>
      </c>
      <c r="D343" t="s">
        <v>10</v>
      </c>
      <c r="E343" t="s">
        <v>11</v>
      </c>
      <c r="F343" s="1">
        <v>9</v>
      </c>
      <c r="G343" s="1">
        <v>5169.7</v>
      </c>
      <c r="H343" s="1">
        <v>497.95</v>
      </c>
    </row>
    <row r="344" spans="1:8" x14ac:dyDescent="0.25">
      <c r="A344" t="s">
        <v>370</v>
      </c>
      <c r="B344" s="2">
        <v>45666</v>
      </c>
      <c r="C344" t="s">
        <v>22</v>
      </c>
      <c r="D344" t="s">
        <v>13</v>
      </c>
      <c r="E344" t="s">
        <v>14</v>
      </c>
      <c r="F344" s="1">
        <v>1</v>
      </c>
      <c r="G344" s="1">
        <v>662.04</v>
      </c>
      <c r="H344" s="1">
        <v>126.49</v>
      </c>
    </row>
    <row r="345" spans="1:8" x14ac:dyDescent="0.25">
      <c r="A345" t="s">
        <v>371</v>
      </c>
      <c r="B345" s="2">
        <v>45749</v>
      </c>
      <c r="C345" t="s">
        <v>9</v>
      </c>
      <c r="D345" t="s">
        <v>33</v>
      </c>
      <c r="E345" t="s">
        <v>26</v>
      </c>
      <c r="F345" s="1">
        <v>9</v>
      </c>
      <c r="G345" s="1">
        <v>8866.18</v>
      </c>
      <c r="H345" s="1">
        <v>2322.84</v>
      </c>
    </row>
    <row r="346" spans="1:8" x14ac:dyDescent="0.25">
      <c r="A346" t="s">
        <v>372</v>
      </c>
      <c r="B346" s="2">
        <v>45787</v>
      </c>
      <c r="C346" t="s">
        <v>22</v>
      </c>
      <c r="D346" t="s">
        <v>41</v>
      </c>
      <c r="E346" t="s">
        <v>11</v>
      </c>
      <c r="F346" s="1">
        <v>3</v>
      </c>
      <c r="G346" s="1">
        <v>981.34</v>
      </c>
      <c r="H346" s="1">
        <v>242.73</v>
      </c>
    </row>
    <row r="347" spans="1:8" x14ac:dyDescent="0.25">
      <c r="A347" t="s">
        <v>373</v>
      </c>
      <c r="B347" s="2">
        <v>45947</v>
      </c>
      <c r="C347" t="s">
        <v>28</v>
      </c>
      <c r="D347" t="s">
        <v>30</v>
      </c>
      <c r="E347" t="s">
        <v>26</v>
      </c>
      <c r="F347" s="1">
        <v>2</v>
      </c>
      <c r="G347" s="1">
        <v>958.02</v>
      </c>
      <c r="H347" s="1">
        <v>181.67</v>
      </c>
    </row>
    <row r="348" spans="1:8" x14ac:dyDescent="0.25">
      <c r="A348" t="s">
        <v>374</v>
      </c>
      <c r="B348" s="2">
        <v>45674</v>
      </c>
      <c r="C348" t="s">
        <v>9</v>
      </c>
      <c r="D348" t="s">
        <v>55</v>
      </c>
      <c r="E348" t="s">
        <v>17</v>
      </c>
      <c r="F348" s="1">
        <v>2</v>
      </c>
      <c r="G348" s="1">
        <v>1603.59</v>
      </c>
      <c r="H348" s="1">
        <v>499.87</v>
      </c>
    </row>
    <row r="349" spans="1:8" x14ac:dyDescent="0.25">
      <c r="A349" t="s">
        <v>375</v>
      </c>
      <c r="B349" s="2">
        <v>45662</v>
      </c>
      <c r="C349" t="s">
        <v>28</v>
      </c>
      <c r="D349" t="s">
        <v>57</v>
      </c>
      <c r="E349" t="s">
        <v>14</v>
      </c>
      <c r="F349" s="1">
        <v>7</v>
      </c>
      <c r="G349" s="1">
        <v>4799.25</v>
      </c>
      <c r="H349" s="1">
        <v>456.65</v>
      </c>
    </row>
    <row r="350" spans="1:8" x14ac:dyDescent="0.25">
      <c r="A350" t="s">
        <v>376</v>
      </c>
      <c r="B350" s="2">
        <v>45706</v>
      </c>
      <c r="C350" t="s">
        <v>9</v>
      </c>
      <c r="D350" t="s">
        <v>20</v>
      </c>
      <c r="E350" t="s">
        <v>11</v>
      </c>
      <c r="F350" s="1">
        <v>7</v>
      </c>
      <c r="G350" s="1">
        <v>5541.5</v>
      </c>
      <c r="H350" s="1">
        <v>938.97</v>
      </c>
    </row>
    <row r="351" spans="1:8" x14ac:dyDescent="0.25">
      <c r="A351" t="s">
        <v>377</v>
      </c>
      <c r="B351" s="2">
        <v>45696</v>
      </c>
      <c r="C351" t="s">
        <v>22</v>
      </c>
      <c r="D351" t="s">
        <v>48</v>
      </c>
      <c r="E351" t="s">
        <v>17</v>
      </c>
      <c r="F351" s="1">
        <v>10</v>
      </c>
      <c r="G351" s="1">
        <v>5968.25</v>
      </c>
      <c r="H351" s="1">
        <v>552.49</v>
      </c>
    </row>
    <row r="352" spans="1:8" x14ac:dyDescent="0.25">
      <c r="A352" t="s">
        <v>378</v>
      </c>
      <c r="B352" s="2">
        <v>45731</v>
      </c>
      <c r="C352" t="s">
        <v>35</v>
      </c>
      <c r="D352" t="s">
        <v>10</v>
      </c>
      <c r="E352" t="s">
        <v>11</v>
      </c>
      <c r="F352" s="1">
        <v>6</v>
      </c>
      <c r="G352" s="1">
        <v>408.04</v>
      </c>
      <c r="H352" s="1">
        <v>55.47</v>
      </c>
    </row>
    <row r="353" spans="1:8" x14ac:dyDescent="0.25">
      <c r="A353" t="s">
        <v>379</v>
      </c>
      <c r="B353" s="2">
        <v>45857</v>
      </c>
      <c r="C353" t="s">
        <v>22</v>
      </c>
      <c r="D353" t="s">
        <v>20</v>
      </c>
      <c r="E353" t="s">
        <v>11</v>
      </c>
      <c r="F353" s="1">
        <v>3</v>
      </c>
      <c r="G353" s="1">
        <v>2095.66</v>
      </c>
      <c r="H353" s="1">
        <v>488.31</v>
      </c>
    </row>
    <row r="354" spans="1:8" x14ac:dyDescent="0.25">
      <c r="A354" t="s">
        <v>380</v>
      </c>
      <c r="B354" s="2">
        <v>45698</v>
      </c>
      <c r="C354" t="s">
        <v>22</v>
      </c>
      <c r="D354" t="s">
        <v>23</v>
      </c>
      <c r="E354" t="s">
        <v>14</v>
      </c>
      <c r="F354" s="1">
        <v>3</v>
      </c>
      <c r="G354" s="1">
        <v>2877.22</v>
      </c>
      <c r="H354" s="1">
        <v>765.67</v>
      </c>
    </row>
    <row r="355" spans="1:8" x14ac:dyDescent="0.25">
      <c r="A355" t="s">
        <v>381</v>
      </c>
      <c r="B355" s="2">
        <v>45967</v>
      </c>
      <c r="C355" t="s">
        <v>35</v>
      </c>
      <c r="D355" t="s">
        <v>10</v>
      </c>
      <c r="E355" t="s">
        <v>11</v>
      </c>
      <c r="F355" s="1">
        <v>7</v>
      </c>
      <c r="G355" s="1">
        <v>2218.7600000000002</v>
      </c>
      <c r="H355" s="1">
        <v>223.04</v>
      </c>
    </row>
    <row r="356" spans="1:8" x14ac:dyDescent="0.25">
      <c r="A356" t="s">
        <v>382</v>
      </c>
      <c r="B356" s="2">
        <v>45774</v>
      </c>
      <c r="C356" t="s">
        <v>22</v>
      </c>
      <c r="D356" t="s">
        <v>33</v>
      </c>
      <c r="E356" t="s">
        <v>26</v>
      </c>
      <c r="F356" s="1">
        <v>5</v>
      </c>
      <c r="G356" s="1">
        <v>4755.3999999999996</v>
      </c>
      <c r="H356" s="1">
        <v>958.92</v>
      </c>
    </row>
    <row r="357" spans="1:8" x14ac:dyDescent="0.25">
      <c r="A357" t="s">
        <v>383</v>
      </c>
      <c r="B357" s="2">
        <v>45701</v>
      </c>
      <c r="C357" t="s">
        <v>22</v>
      </c>
      <c r="D357" t="s">
        <v>57</v>
      </c>
      <c r="E357" t="s">
        <v>14</v>
      </c>
      <c r="F357" s="1">
        <v>3</v>
      </c>
      <c r="G357" s="1">
        <v>2494.9499999999998</v>
      </c>
      <c r="H357" s="1">
        <v>644.65</v>
      </c>
    </row>
    <row r="358" spans="1:8" x14ac:dyDescent="0.25">
      <c r="A358" t="s">
        <v>384</v>
      </c>
      <c r="B358" s="2">
        <v>46022</v>
      </c>
      <c r="C358" t="s">
        <v>28</v>
      </c>
      <c r="D358" t="s">
        <v>16</v>
      </c>
      <c r="E358" t="s">
        <v>17</v>
      </c>
      <c r="F358" s="1">
        <v>2</v>
      </c>
      <c r="G358" s="1">
        <v>288.69</v>
      </c>
      <c r="H358" s="1">
        <v>35.119999999999997</v>
      </c>
    </row>
    <row r="359" spans="1:8" x14ac:dyDescent="0.25">
      <c r="A359" t="s">
        <v>385</v>
      </c>
      <c r="B359" s="2">
        <v>45815</v>
      </c>
      <c r="C359" t="s">
        <v>35</v>
      </c>
      <c r="D359" t="s">
        <v>57</v>
      </c>
      <c r="E359" t="s">
        <v>14</v>
      </c>
      <c r="F359" s="1">
        <v>6</v>
      </c>
      <c r="G359" s="1">
        <v>1035.2</v>
      </c>
      <c r="H359" s="1">
        <v>84.27</v>
      </c>
    </row>
    <row r="360" spans="1:8" x14ac:dyDescent="0.25">
      <c r="A360" t="s">
        <v>386</v>
      </c>
      <c r="B360" s="2">
        <v>45887</v>
      </c>
      <c r="C360" t="s">
        <v>35</v>
      </c>
      <c r="D360" t="s">
        <v>30</v>
      </c>
      <c r="E360" t="s">
        <v>26</v>
      </c>
      <c r="F360" s="1">
        <v>2</v>
      </c>
      <c r="G360" s="1">
        <v>404.77</v>
      </c>
      <c r="H360" s="1">
        <v>52.86</v>
      </c>
    </row>
    <row r="361" spans="1:8" x14ac:dyDescent="0.25">
      <c r="A361" t="s">
        <v>387</v>
      </c>
      <c r="B361" s="2">
        <v>45964</v>
      </c>
      <c r="C361" t="s">
        <v>22</v>
      </c>
      <c r="D361" t="s">
        <v>10</v>
      </c>
      <c r="E361" t="s">
        <v>11</v>
      </c>
      <c r="F361" s="1">
        <v>2</v>
      </c>
      <c r="G361" s="1">
        <v>914</v>
      </c>
      <c r="H361" s="1">
        <v>96.09</v>
      </c>
    </row>
    <row r="362" spans="1:8" x14ac:dyDescent="0.25">
      <c r="A362" t="s">
        <v>388</v>
      </c>
      <c r="B362" s="2">
        <v>45944</v>
      </c>
      <c r="C362" t="s">
        <v>28</v>
      </c>
      <c r="D362" t="s">
        <v>13</v>
      </c>
      <c r="E362" t="s">
        <v>14</v>
      </c>
      <c r="F362" s="1">
        <v>5</v>
      </c>
      <c r="G362" s="1">
        <v>2629.41</v>
      </c>
      <c r="H362" s="1">
        <v>763.52</v>
      </c>
    </row>
    <row r="363" spans="1:8" x14ac:dyDescent="0.25">
      <c r="A363" t="s">
        <v>389</v>
      </c>
      <c r="B363" s="2">
        <v>45795</v>
      </c>
      <c r="C363" t="s">
        <v>35</v>
      </c>
      <c r="D363" t="s">
        <v>16</v>
      </c>
      <c r="E363" t="s">
        <v>17</v>
      </c>
      <c r="F363" s="1">
        <v>7</v>
      </c>
      <c r="G363" s="1">
        <v>1714.49</v>
      </c>
      <c r="H363" s="1">
        <v>261.64999999999998</v>
      </c>
    </row>
    <row r="364" spans="1:8" x14ac:dyDescent="0.25">
      <c r="A364" t="s">
        <v>390</v>
      </c>
      <c r="B364" s="2">
        <v>45905</v>
      </c>
      <c r="C364" t="s">
        <v>9</v>
      </c>
      <c r="D364" t="s">
        <v>48</v>
      </c>
      <c r="E364" t="s">
        <v>17</v>
      </c>
      <c r="F364" s="1">
        <v>3</v>
      </c>
      <c r="G364" s="1">
        <v>1649.63</v>
      </c>
      <c r="H364" s="1">
        <v>319.52999999999997</v>
      </c>
    </row>
    <row r="365" spans="1:8" x14ac:dyDescent="0.25">
      <c r="A365" t="s">
        <v>391</v>
      </c>
      <c r="B365" s="2">
        <v>45973</v>
      </c>
      <c r="C365" t="s">
        <v>28</v>
      </c>
      <c r="D365" t="s">
        <v>30</v>
      </c>
      <c r="E365" t="s">
        <v>26</v>
      </c>
      <c r="F365" s="1">
        <v>4</v>
      </c>
      <c r="G365" s="1">
        <v>3516.14</v>
      </c>
      <c r="H365" s="1">
        <v>751.99</v>
      </c>
    </row>
    <row r="366" spans="1:8" x14ac:dyDescent="0.25">
      <c r="A366" t="s">
        <v>392</v>
      </c>
      <c r="B366" s="2">
        <v>45828</v>
      </c>
      <c r="C366" t="s">
        <v>35</v>
      </c>
      <c r="D366" t="s">
        <v>13</v>
      </c>
      <c r="E366" t="s">
        <v>14</v>
      </c>
      <c r="F366" s="1">
        <v>3</v>
      </c>
      <c r="G366" s="1">
        <v>1201.07</v>
      </c>
      <c r="H366" s="1">
        <v>403.78</v>
      </c>
    </row>
    <row r="367" spans="1:8" x14ac:dyDescent="0.25">
      <c r="A367" t="s">
        <v>393</v>
      </c>
      <c r="B367" s="2">
        <v>45991</v>
      </c>
      <c r="C367" t="s">
        <v>28</v>
      </c>
      <c r="D367" t="s">
        <v>30</v>
      </c>
      <c r="E367" t="s">
        <v>26</v>
      </c>
      <c r="F367" s="1">
        <v>6</v>
      </c>
      <c r="G367" s="1">
        <v>3271.25</v>
      </c>
      <c r="H367" s="1">
        <v>989.08</v>
      </c>
    </row>
    <row r="368" spans="1:8" x14ac:dyDescent="0.25">
      <c r="A368" t="s">
        <v>394</v>
      </c>
      <c r="B368" s="2">
        <v>45818</v>
      </c>
      <c r="C368" t="s">
        <v>28</v>
      </c>
      <c r="D368" t="s">
        <v>30</v>
      </c>
      <c r="E368" t="s">
        <v>26</v>
      </c>
      <c r="F368" s="1">
        <v>10</v>
      </c>
      <c r="G368" s="1">
        <v>11393.71</v>
      </c>
      <c r="H368" s="1">
        <v>1529.38</v>
      </c>
    </row>
    <row r="369" spans="1:8" x14ac:dyDescent="0.25">
      <c r="A369" t="s">
        <v>395</v>
      </c>
      <c r="B369" s="2">
        <v>45952</v>
      </c>
      <c r="C369" t="s">
        <v>28</v>
      </c>
      <c r="D369" t="s">
        <v>57</v>
      </c>
      <c r="E369" t="s">
        <v>14</v>
      </c>
      <c r="F369" s="1">
        <v>5</v>
      </c>
      <c r="G369" s="1">
        <v>4475.53</v>
      </c>
      <c r="H369" s="1">
        <v>1122.8399999999999</v>
      </c>
    </row>
    <row r="370" spans="1:8" x14ac:dyDescent="0.25">
      <c r="A370" t="s">
        <v>396</v>
      </c>
      <c r="B370" s="2">
        <v>45716</v>
      </c>
      <c r="C370" t="s">
        <v>28</v>
      </c>
      <c r="D370" t="s">
        <v>30</v>
      </c>
      <c r="E370" t="s">
        <v>26</v>
      </c>
      <c r="F370" s="1">
        <v>5</v>
      </c>
      <c r="G370" s="1">
        <v>4944.84</v>
      </c>
      <c r="H370" s="1">
        <v>920.2</v>
      </c>
    </row>
    <row r="371" spans="1:8" x14ac:dyDescent="0.25">
      <c r="A371" t="s">
        <v>397</v>
      </c>
      <c r="B371" s="2">
        <v>46020</v>
      </c>
      <c r="C371" t="s">
        <v>28</v>
      </c>
      <c r="D371" t="s">
        <v>16</v>
      </c>
      <c r="E371" t="s">
        <v>17</v>
      </c>
      <c r="F371" s="1">
        <v>9</v>
      </c>
      <c r="G371" s="1">
        <v>728.58</v>
      </c>
      <c r="H371" s="1">
        <v>201.34</v>
      </c>
    </row>
    <row r="372" spans="1:8" x14ac:dyDescent="0.25">
      <c r="A372" t="s">
        <v>398</v>
      </c>
      <c r="B372" s="2">
        <v>45867</v>
      </c>
      <c r="C372" t="s">
        <v>35</v>
      </c>
      <c r="D372" t="s">
        <v>57</v>
      </c>
      <c r="E372" t="s">
        <v>14</v>
      </c>
      <c r="F372" s="1">
        <v>2</v>
      </c>
      <c r="G372" s="1">
        <v>1983.62</v>
      </c>
      <c r="H372" s="1">
        <v>584.83000000000004</v>
      </c>
    </row>
    <row r="373" spans="1:8" x14ac:dyDescent="0.25">
      <c r="A373" t="s">
        <v>399</v>
      </c>
      <c r="B373" s="2">
        <v>45874</v>
      </c>
      <c r="C373" t="s">
        <v>35</v>
      </c>
      <c r="D373" t="s">
        <v>16</v>
      </c>
      <c r="E373" t="s">
        <v>17</v>
      </c>
      <c r="F373" s="1">
        <v>5</v>
      </c>
      <c r="G373" s="1">
        <v>1641.62</v>
      </c>
      <c r="H373" s="1">
        <v>423.27</v>
      </c>
    </row>
    <row r="374" spans="1:8" x14ac:dyDescent="0.25">
      <c r="A374" t="s">
        <v>400</v>
      </c>
      <c r="B374" s="2">
        <v>45917</v>
      </c>
      <c r="C374" t="s">
        <v>35</v>
      </c>
      <c r="D374" t="s">
        <v>20</v>
      </c>
      <c r="E374" t="s">
        <v>11</v>
      </c>
      <c r="F374" s="1">
        <v>10</v>
      </c>
      <c r="G374" s="1">
        <v>6011.2</v>
      </c>
      <c r="H374" s="1">
        <v>1131.4100000000001</v>
      </c>
    </row>
    <row r="375" spans="1:8" x14ac:dyDescent="0.25">
      <c r="A375" t="s">
        <v>401</v>
      </c>
      <c r="B375" s="2">
        <v>45713</v>
      </c>
      <c r="C375" t="s">
        <v>28</v>
      </c>
      <c r="D375" t="s">
        <v>20</v>
      </c>
      <c r="E375" t="s">
        <v>11</v>
      </c>
      <c r="F375" s="1">
        <v>9</v>
      </c>
      <c r="G375" s="1">
        <v>6596.04</v>
      </c>
      <c r="H375" s="1">
        <v>2156.17</v>
      </c>
    </row>
    <row r="376" spans="1:8" x14ac:dyDescent="0.25">
      <c r="A376" t="s">
        <v>402</v>
      </c>
      <c r="B376" s="2">
        <v>46004</v>
      </c>
      <c r="C376" t="s">
        <v>35</v>
      </c>
      <c r="D376" t="s">
        <v>33</v>
      </c>
      <c r="E376" t="s">
        <v>26</v>
      </c>
      <c r="F376" s="1">
        <v>10</v>
      </c>
      <c r="G376" s="1">
        <v>1009.41</v>
      </c>
      <c r="H376" s="1">
        <v>348.83</v>
      </c>
    </row>
    <row r="377" spans="1:8" x14ac:dyDescent="0.25">
      <c r="A377" t="s">
        <v>403</v>
      </c>
      <c r="B377" s="2">
        <v>45919</v>
      </c>
      <c r="C377" t="s">
        <v>28</v>
      </c>
      <c r="D377" t="s">
        <v>30</v>
      </c>
      <c r="E377" t="s">
        <v>26</v>
      </c>
      <c r="F377" s="1">
        <v>2</v>
      </c>
      <c r="G377" s="1">
        <v>124.26</v>
      </c>
      <c r="H377" s="1">
        <v>18.62</v>
      </c>
    </row>
    <row r="378" spans="1:8" x14ac:dyDescent="0.25">
      <c r="A378" t="s">
        <v>404</v>
      </c>
      <c r="B378" s="2">
        <v>46011</v>
      </c>
      <c r="C378" t="s">
        <v>28</v>
      </c>
      <c r="D378" t="s">
        <v>57</v>
      </c>
      <c r="E378" t="s">
        <v>14</v>
      </c>
      <c r="F378" s="1">
        <v>7</v>
      </c>
      <c r="G378" s="1">
        <v>4077.66</v>
      </c>
      <c r="H378" s="1">
        <v>1074.3800000000001</v>
      </c>
    </row>
    <row r="379" spans="1:8" x14ac:dyDescent="0.25">
      <c r="A379" t="s">
        <v>405</v>
      </c>
      <c r="B379" s="2">
        <v>45701</v>
      </c>
      <c r="C379" t="s">
        <v>9</v>
      </c>
      <c r="D379" t="s">
        <v>33</v>
      </c>
      <c r="E379" t="s">
        <v>26</v>
      </c>
      <c r="F379" s="1">
        <v>8</v>
      </c>
      <c r="G379" s="1">
        <v>1361.85</v>
      </c>
      <c r="H379" s="1">
        <v>261.89999999999998</v>
      </c>
    </row>
    <row r="380" spans="1:8" x14ac:dyDescent="0.25">
      <c r="A380" t="s">
        <v>406</v>
      </c>
      <c r="B380" s="2">
        <v>45924</v>
      </c>
      <c r="C380" t="s">
        <v>35</v>
      </c>
      <c r="D380" t="s">
        <v>55</v>
      </c>
      <c r="E380" t="s">
        <v>17</v>
      </c>
      <c r="F380" s="1">
        <v>5</v>
      </c>
      <c r="G380" s="1">
        <v>2222.63</v>
      </c>
      <c r="H380" s="1">
        <v>648.46</v>
      </c>
    </row>
    <row r="381" spans="1:8" x14ac:dyDescent="0.25">
      <c r="A381" t="s">
        <v>407</v>
      </c>
      <c r="B381" s="2">
        <v>45821</v>
      </c>
      <c r="C381" t="s">
        <v>9</v>
      </c>
      <c r="D381" t="s">
        <v>30</v>
      </c>
      <c r="E381" t="s">
        <v>26</v>
      </c>
      <c r="F381" s="1">
        <v>2</v>
      </c>
      <c r="G381" s="1">
        <v>1107.78</v>
      </c>
      <c r="H381" s="1">
        <v>297.02</v>
      </c>
    </row>
    <row r="382" spans="1:8" x14ac:dyDescent="0.25">
      <c r="A382" t="s">
        <v>408</v>
      </c>
      <c r="B382" s="2">
        <v>45713</v>
      </c>
      <c r="C382" t="s">
        <v>28</v>
      </c>
      <c r="D382" t="s">
        <v>33</v>
      </c>
      <c r="E382" t="s">
        <v>26</v>
      </c>
      <c r="F382" s="1">
        <v>2</v>
      </c>
      <c r="G382" s="1">
        <v>151.94999999999999</v>
      </c>
      <c r="H382" s="1">
        <v>26.23</v>
      </c>
    </row>
    <row r="383" spans="1:8" x14ac:dyDescent="0.25">
      <c r="A383" t="s">
        <v>409</v>
      </c>
      <c r="B383" s="2">
        <v>45876</v>
      </c>
      <c r="C383" t="s">
        <v>35</v>
      </c>
      <c r="D383" t="s">
        <v>16</v>
      </c>
      <c r="E383" t="s">
        <v>17</v>
      </c>
      <c r="F383" s="1">
        <v>3</v>
      </c>
      <c r="G383" s="1">
        <v>2054.09</v>
      </c>
      <c r="H383" s="1">
        <v>347.9</v>
      </c>
    </row>
    <row r="384" spans="1:8" x14ac:dyDescent="0.25">
      <c r="A384" t="s">
        <v>410</v>
      </c>
      <c r="B384" s="2">
        <v>45860</v>
      </c>
      <c r="C384" t="s">
        <v>9</v>
      </c>
      <c r="D384" t="s">
        <v>55</v>
      </c>
      <c r="E384" t="s">
        <v>17</v>
      </c>
      <c r="F384" s="1">
        <v>3</v>
      </c>
      <c r="G384" s="1">
        <v>793.03</v>
      </c>
      <c r="H384" s="1">
        <v>204.18</v>
      </c>
    </row>
    <row r="385" spans="1:8" x14ac:dyDescent="0.25">
      <c r="A385" t="s">
        <v>411</v>
      </c>
      <c r="B385" s="2">
        <v>45767</v>
      </c>
      <c r="C385" t="s">
        <v>28</v>
      </c>
      <c r="D385" t="s">
        <v>55</v>
      </c>
      <c r="E385" t="s">
        <v>17</v>
      </c>
      <c r="F385" s="1">
        <v>10</v>
      </c>
      <c r="G385" s="1">
        <v>5439.86</v>
      </c>
      <c r="H385" s="1">
        <v>441.72</v>
      </c>
    </row>
    <row r="386" spans="1:8" x14ac:dyDescent="0.25">
      <c r="A386" t="s">
        <v>412</v>
      </c>
      <c r="B386" s="2">
        <v>45932</v>
      </c>
      <c r="C386" t="s">
        <v>28</v>
      </c>
      <c r="D386" t="s">
        <v>25</v>
      </c>
      <c r="E386" t="s">
        <v>26</v>
      </c>
      <c r="F386" s="1">
        <v>2</v>
      </c>
      <c r="G386" s="1">
        <v>1427.9</v>
      </c>
      <c r="H386" s="1">
        <v>422.47</v>
      </c>
    </row>
    <row r="387" spans="1:8" x14ac:dyDescent="0.25">
      <c r="A387" t="s">
        <v>413</v>
      </c>
      <c r="B387" s="2">
        <v>45908</v>
      </c>
      <c r="C387" t="s">
        <v>22</v>
      </c>
      <c r="D387" t="s">
        <v>30</v>
      </c>
      <c r="E387" t="s">
        <v>26</v>
      </c>
      <c r="F387" s="1">
        <v>4</v>
      </c>
      <c r="G387" s="1">
        <v>2304.73</v>
      </c>
      <c r="H387" s="1">
        <v>347.63</v>
      </c>
    </row>
    <row r="388" spans="1:8" x14ac:dyDescent="0.25">
      <c r="A388" t="s">
        <v>414</v>
      </c>
      <c r="B388" s="2">
        <v>45892</v>
      </c>
      <c r="C388" t="s">
        <v>28</v>
      </c>
      <c r="D388" t="s">
        <v>23</v>
      </c>
      <c r="E388" t="s">
        <v>14</v>
      </c>
      <c r="F388" s="1">
        <v>7</v>
      </c>
      <c r="G388" s="1">
        <v>5075.3900000000003</v>
      </c>
      <c r="H388" s="1">
        <v>882.81</v>
      </c>
    </row>
    <row r="389" spans="1:8" x14ac:dyDescent="0.25">
      <c r="A389" t="s">
        <v>415</v>
      </c>
      <c r="B389" s="2">
        <v>45718</v>
      </c>
      <c r="C389" t="s">
        <v>28</v>
      </c>
      <c r="D389" t="s">
        <v>25</v>
      </c>
      <c r="E389" t="s">
        <v>26</v>
      </c>
      <c r="F389" s="1">
        <v>10</v>
      </c>
      <c r="G389" s="1">
        <v>1474.65</v>
      </c>
      <c r="H389" s="1">
        <v>171.3</v>
      </c>
    </row>
    <row r="390" spans="1:8" x14ac:dyDescent="0.25">
      <c r="A390" t="s">
        <v>416</v>
      </c>
      <c r="B390" s="2">
        <v>45856</v>
      </c>
      <c r="C390" t="s">
        <v>35</v>
      </c>
      <c r="D390" t="s">
        <v>33</v>
      </c>
      <c r="E390" t="s">
        <v>26</v>
      </c>
      <c r="F390" s="1">
        <v>3</v>
      </c>
      <c r="G390" s="1">
        <v>1437.91</v>
      </c>
      <c r="H390" s="1">
        <v>169.91</v>
      </c>
    </row>
    <row r="391" spans="1:8" x14ac:dyDescent="0.25">
      <c r="A391" t="s">
        <v>417</v>
      </c>
      <c r="B391" s="2">
        <v>45933</v>
      </c>
      <c r="C391" t="s">
        <v>28</v>
      </c>
      <c r="D391" t="s">
        <v>16</v>
      </c>
      <c r="E391" t="s">
        <v>17</v>
      </c>
      <c r="F391" s="1">
        <v>7</v>
      </c>
      <c r="G391" s="1">
        <v>3755.46</v>
      </c>
      <c r="H391" s="1">
        <v>793.91</v>
      </c>
    </row>
    <row r="392" spans="1:8" x14ac:dyDescent="0.25">
      <c r="A392" t="s">
        <v>418</v>
      </c>
      <c r="B392" s="2">
        <v>45888</v>
      </c>
      <c r="C392" t="s">
        <v>9</v>
      </c>
      <c r="D392" t="s">
        <v>55</v>
      </c>
      <c r="E392" t="s">
        <v>17</v>
      </c>
      <c r="F392" s="1">
        <v>5</v>
      </c>
      <c r="G392" s="1">
        <v>1056.71</v>
      </c>
      <c r="H392" s="1">
        <v>174.29</v>
      </c>
    </row>
    <row r="393" spans="1:8" x14ac:dyDescent="0.25">
      <c r="A393" t="s">
        <v>419</v>
      </c>
      <c r="B393" s="2">
        <v>45945</v>
      </c>
      <c r="C393" t="s">
        <v>35</v>
      </c>
      <c r="D393" t="s">
        <v>33</v>
      </c>
      <c r="E393" t="s">
        <v>26</v>
      </c>
      <c r="F393" s="1">
        <v>8</v>
      </c>
      <c r="G393" s="1">
        <v>1656.12</v>
      </c>
      <c r="H393" s="1">
        <v>497.02</v>
      </c>
    </row>
    <row r="394" spans="1:8" x14ac:dyDescent="0.25">
      <c r="A394" t="s">
        <v>420</v>
      </c>
      <c r="B394" s="2">
        <v>45908</v>
      </c>
      <c r="C394" t="s">
        <v>28</v>
      </c>
      <c r="D394" t="s">
        <v>23</v>
      </c>
      <c r="E394" t="s">
        <v>14</v>
      </c>
      <c r="F394" s="1">
        <v>8</v>
      </c>
      <c r="G394" s="1">
        <v>4223.8</v>
      </c>
      <c r="H394" s="1">
        <v>1295.74</v>
      </c>
    </row>
    <row r="395" spans="1:8" x14ac:dyDescent="0.25">
      <c r="A395" t="s">
        <v>421</v>
      </c>
      <c r="B395" s="2">
        <v>45674</v>
      </c>
      <c r="C395" t="s">
        <v>22</v>
      </c>
      <c r="D395" t="s">
        <v>41</v>
      </c>
      <c r="E395" t="s">
        <v>11</v>
      </c>
      <c r="F395" s="1">
        <v>1</v>
      </c>
      <c r="G395" s="1">
        <v>965.26</v>
      </c>
      <c r="H395" s="1">
        <v>134.69999999999999</v>
      </c>
    </row>
    <row r="396" spans="1:8" x14ac:dyDescent="0.25">
      <c r="A396" t="s">
        <v>422</v>
      </c>
      <c r="B396" s="2">
        <v>45911</v>
      </c>
      <c r="C396" t="s">
        <v>9</v>
      </c>
      <c r="D396" t="s">
        <v>16</v>
      </c>
      <c r="E396" t="s">
        <v>17</v>
      </c>
      <c r="F396" s="1">
        <v>5</v>
      </c>
      <c r="G396" s="1">
        <v>1217.2</v>
      </c>
      <c r="H396" s="1">
        <v>247.67</v>
      </c>
    </row>
    <row r="397" spans="1:8" x14ac:dyDescent="0.25">
      <c r="A397" t="s">
        <v>423</v>
      </c>
      <c r="B397" s="2">
        <v>45679</v>
      </c>
      <c r="C397" t="s">
        <v>35</v>
      </c>
      <c r="D397" t="s">
        <v>20</v>
      </c>
      <c r="E397" t="s">
        <v>11</v>
      </c>
      <c r="F397" s="1">
        <v>9</v>
      </c>
      <c r="G397" s="1">
        <v>8970.98</v>
      </c>
      <c r="H397" s="1">
        <v>1606.28</v>
      </c>
    </row>
    <row r="398" spans="1:8" x14ac:dyDescent="0.25">
      <c r="A398" t="s">
        <v>424</v>
      </c>
      <c r="B398" s="2">
        <v>45784</v>
      </c>
      <c r="C398" t="s">
        <v>22</v>
      </c>
      <c r="D398" t="s">
        <v>55</v>
      </c>
      <c r="E398" t="s">
        <v>17</v>
      </c>
      <c r="F398" s="1">
        <v>2</v>
      </c>
      <c r="G398" s="1">
        <v>1792.77</v>
      </c>
      <c r="H398" s="1">
        <v>459.83</v>
      </c>
    </row>
    <row r="399" spans="1:8" x14ac:dyDescent="0.25">
      <c r="A399" t="s">
        <v>425</v>
      </c>
      <c r="B399" s="2">
        <v>45882</v>
      </c>
      <c r="C399" t="s">
        <v>9</v>
      </c>
      <c r="D399" t="s">
        <v>20</v>
      </c>
      <c r="E399" t="s">
        <v>11</v>
      </c>
      <c r="F399" s="1">
        <v>5</v>
      </c>
      <c r="G399" s="1">
        <v>2254.3200000000002</v>
      </c>
      <c r="H399" s="1">
        <v>677.46</v>
      </c>
    </row>
    <row r="400" spans="1:8" x14ac:dyDescent="0.25">
      <c r="A400" t="s">
        <v>426</v>
      </c>
      <c r="B400" s="2">
        <v>45970</v>
      </c>
      <c r="C400" t="s">
        <v>35</v>
      </c>
      <c r="D400" t="s">
        <v>48</v>
      </c>
      <c r="E400" t="s">
        <v>17</v>
      </c>
      <c r="F400" s="1">
        <v>10</v>
      </c>
      <c r="G400" s="1">
        <v>8425.0400000000009</v>
      </c>
      <c r="H400" s="1">
        <v>2632.68</v>
      </c>
    </row>
    <row r="401" spans="1:8" x14ac:dyDescent="0.25">
      <c r="A401" t="s">
        <v>427</v>
      </c>
      <c r="B401" s="2">
        <v>45688</v>
      </c>
      <c r="C401" t="s">
        <v>22</v>
      </c>
      <c r="D401" t="s">
        <v>16</v>
      </c>
      <c r="E401" t="s">
        <v>17</v>
      </c>
      <c r="F401" s="1">
        <v>3</v>
      </c>
      <c r="G401" s="1">
        <v>2857.73</v>
      </c>
      <c r="H401" s="1">
        <v>856.33</v>
      </c>
    </row>
    <row r="402" spans="1:8" x14ac:dyDescent="0.25">
      <c r="A402" t="s">
        <v>428</v>
      </c>
      <c r="B402" s="2">
        <v>45807</v>
      </c>
      <c r="C402" t="s">
        <v>22</v>
      </c>
      <c r="D402" t="s">
        <v>25</v>
      </c>
      <c r="E402" t="s">
        <v>26</v>
      </c>
      <c r="F402" s="1">
        <v>9</v>
      </c>
      <c r="G402" s="1">
        <v>2192.71</v>
      </c>
      <c r="H402" s="1">
        <v>755.02</v>
      </c>
    </row>
    <row r="403" spans="1:8" x14ac:dyDescent="0.25">
      <c r="A403" t="s">
        <v>429</v>
      </c>
      <c r="B403" s="2">
        <v>45868</v>
      </c>
      <c r="C403" t="s">
        <v>9</v>
      </c>
      <c r="D403" t="s">
        <v>25</v>
      </c>
      <c r="E403" t="s">
        <v>26</v>
      </c>
      <c r="F403" s="1">
        <v>2</v>
      </c>
      <c r="G403" s="1">
        <v>411.85</v>
      </c>
      <c r="H403" s="1">
        <v>116.36</v>
      </c>
    </row>
    <row r="404" spans="1:8" x14ac:dyDescent="0.25">
      <c r="A404" t="s">
        <v>430</v>
      </c>
      <c r="B404" s="2">
        <v>45732</v>
      </c>
      <c r="C404" t="s">
        <v>22</v>
      </c>
      <c r="D404" t="s">
        <v>25</v>
      </c>
      <c r="E404" t="s">
        <v>26</v>
      </c>
      <c r="F404" s="1">
        <v>3</v>
      </c>
      <c r="G404" s="1">
        <v>2569.92</v>
      </c>
      <c r="H404" s="1">
        <v>297.66000000000003</v>
      </c>
    </row>
    <row r="405" spans="1:8" x14ac:dyDescent="0.25">
      <c r="A405" t="s">
        <v>431</v>
      </c>
      <c r="B405" s="2">
        <v>45795</v>
      </c>
      <c r="C405" t="s">
        <v>35</v>
      </c>
      <c r="D405" t="s">
        <v>16</v>
      </c>
      <c r="E405" t="s">
        <v>17</v>
      </c>
      <c r="F405" s="1">
        <v>7</v>
      </c>
      <c r="G405" s="1">
        <v>4290.1400000000003</v>
      </c>
      <c r="H405" s="1">
        <v>1012.07</v>
      </c>
    </row>
    <row r="406" spans="1:8" x14ac:dyDescent="0.25">
      <c r="A406" t="s">
        <v>432</v>
      </c>
      <c r="B406" s="2">
        <v>45705</v>
      </c>
      <c r="C406" t="s">
        <v>35</v>
      </c>
      <c r="D406" t="s">
        <v>57</v>
      </c>
      <c r="E406" t="s">
        <v>14</v>
      </c>
      <c r="F406" s="1">
        <v>2</v>
      </c>
      <c r="G406" s="1">
        <v>1557.34</v>
      </c>
      <c r="H406" s="1">
        <v>494.66</v>
      </c>
    </row>
    <row r="407" spans="1:8" x14ac:dyDescent="0.25">
      <c r="A407" t="s">
        <v>433</v>
      </c>
      <c r="B407" s="2">
        <v>45955</v>
      </c>
      <c r="C407" t="s">
        <v>9</v>
      </c>
      <c r="D407" t="s">
        <v>25</v>
      </c>
      <c r="E407" t="s">
        <v>26</v>
      </c>
      <c r="F407" s="1">
        <v>6</v>
      </c>
      <c r="G407" s="1">
        <v>3437.4</v>
      </c>
      <c r="H407" s="1">
        <v>727.95</v>
      </c>
    </row>
    <row r="408" spans="1:8" x14ac:dyDescent="0.25">
      <c r="A408" t="s">
        <v>434</v>
      </c>
      <c r="B408" s="2">
        <v>45690</v>
      </c>
      <c r="C408" t="s">
        <v>35</v>
      </c>
      <c r="D408" t="s">
        <v>41</v>
      </c>
      <c r="E408" t="s">
        <v>11</v>
      </c>
      <c r="F408" s="1">
        <v>8</v>
      </c>
      <c r="G408" s="1">
        <v>6240.53</v>
      </c>
      <c r="H408" s="1">
        <v>1674.13</v>
      </c>
    </row>
    <row r="409" spans="1:8" x14ac:dyDescent="0.25">
      <c r="A409" t="s">
        <v>435</v>
      </c>
      <c r="B409" s="2">
        <v>45803</v>
      </c>
      <c r="C409" t="s">
        <v>22</v>
      </c>
      <c r="D409" t="s">
        <v>55</v>
      </c>
      <c r="E409" t="s">
        <v>17</v>
      </c>
      <c r="F409" s="1">
        <v>4</v>
      </c>
      <c r="G409" s="1">
        <v>2475.69</v>
      </c>
      <c r="H409" s="1">
        <v>413.87</v>
      </c>
    </row>
    <row r="410" spans="1:8" x14ac:dyDescent="0.25">
      <c r="A410" t="s">
        <v>436</v>
      </c>
      <c r="B410" s="2">
        <v>45682</v>
      </c>
      <c r="C410" t="s">
        <v>9</v>
      </c>
      <c r="D410" t="s">
        <v>16</v>
      </c>
      <c r="E410" t="s">
        <v>17</v>
      </c>
      <c r="F410" s="1">
        <v>8</v>
      </c>
      <c r="G410" s="1">
        <v>7652.39</v>
      </c>
      <c r="H410" s="1">
        <v>2459.64</v>
      </c>
    </row>
    <row r="411" spans="1:8" x14ac:dyDescent="0.25">
      <c r="A411" t="s">
        <v>437</v>
      </c>
      <c r="B411" s="2">
        <v>45738</v>
      </c>
      <c r="C411" t="s">
        <v>35</v>
      </c>
      <c r="D411" t="s">
        <v>41</v>
      </c>
      <c r="E411" t="s">
        <v>11</v>
      </c>
      <c r="F411" s="1">
        <v>8</v>
      </c>
      <c r="G411" s="1">
        <v>549.79</v>
      </c>
      <c r="H411" s="1">
        <v>181.95</v>
      </c>
    </row>
    <row r="412" spans="1:8" x14ac:dyDescent="0.25">
      <c r="A412" t="s">
        <v>438</v>
      </c>
      <c r="B412" s="2">
        <v>45725</v>
      </c>
      <c r="C412" t="s">
        <v>22</v>
      </c>
      <c r="D412" t="s">
        <v>13</v>
      </c>
      <c r="E412" t="s">
        <v>14</v>
      </c>
      <c r="F412" s="1">
        <v>7</v>
      </c>
      <c r="G412" s="1">
        <v>1978.66</v>
      </c>
      <c r="H412" s="1">
        <v>526.16</v>
      </c>
    </row>
    <row r="413" spans="1:8" x14ac:dyDescent="0.25">
      <c r="A413" t="s">
        <v>439</v>
      </c>
      <c r="B413" s="2">
        <v>45848</v>
      </c>
      <c r="C413" t="s">
        <v>28</v>
      </c>
      <c r="D413" t="s">
        <v>55</v>
      </c>
      <c r="E413" t="s">
        <v>17</v>
      </c>
      <c r="F413" s="1">
        <v>2</v>
      </c>
      <c r="G413" s="1">
        <v>1605.55</v>
      </c>
      <c r="H413" s="1">
        <v>236.99</v>
      </c>
    </row>
    <row r="414" spans="1:8" x14ac:dyDescent="0.25">
      <c r="A414" t="s">
        <v>440</v>
      </c>
      <c r="B414" s="2">
        <v>45877</v>
      </c>
      <c r="C414" t="s">
        <v>9</v>
      </c>
      <c r="D414" t="s">
        <v>20</v>
      </c>
      <c r="E414" t="s">
        <v>11</v>
      </c>
      <c r="F414" s="1">
        <v>5</v>
      </c>
      <c r="G414" s="1">
        <v>4424.43</v>
      </c>
      <c r="H414" s="1">
        <v>1256.1500000000001</v>
      </c>
    </row>
    <row r="415" spans="1:8" x14ac:dyDescent="0.25">
      <c r="A415" t="s">
        <v>441</v>
      </c>
      <c r="B415" s="2">
        <v>45773</v>
      </c>
      <c r="C415" t="s">
        <v>35</v>
      </c>
      <c r="D415" t="s">
        <v>10</v>
      </c>
      <c r="E415" t="s">
        <v>11</v>
      </c>
      <c r="F415" s="1">
        <v>4</v>
      </c>
      <c r="G415" s="1">
        <v>2393.31</v>
      </c>
      <c r="H415" s="1">
        <v>277.20999999999998</v>
      </c>
    </row>
    <row r="416" spans="1:8" x14ac:dyDescent="0.25">
      <c r="A416" t="s">
        <v>442</v>
      </c>
      <c r="B416" s="2">
        <v>45874</v>
      </c>
      <c r="C416" t="s">
        <v>28</v>
      </c>
      <c r="D416" t="s">
        <v>10</v>
      </c>
      <c r="E416" t="s">
        <v>11</v>
      </c>
      <c r="F416" s="1">
        <v>6</v>
      </c>
      <c r="G416" s="1">
        <v>5938.05</v>
      </c>
      <c r="H416" s="1">
        <v>2059.33</v>
      </c>
    </row>
    <row r="417" spans="1:8" x14ac:dyDescent="0.25">
      <c r="A417" t="s">
        <v>443</v>
      </c>
      <c r="B417" s="2">
        <v>45710</v>
      </c>
      <c r="C417" t="s">
        <v>9</v>
      </c>
      <c r="D417" t="s">
        <v>13</v>
      </c>
      <c r="E417" t="s">
        <v>14</v>
      </c>
      <c r="F417" s="1">
        <v>4</v>
      </c>
      <c r="G417" s="1">
        <v>1962.12</v>
      </c>
      <c r="H417" s="1">
        <v>544.11</v>
      </c>
    </row>
    <row r="418" spans="1:8" x14ac:dyDescent="0.25">
      <c r="A418" t="s">
        <v>444</v>
      </c>
      <c r="B418" s="2">
        <v>45726</v>
      </c>
      <c r="C418" t="s">
        <v>28</v>
      </c>
      <c r="D418" t="s">
        <v>30</v>
      </c>
      <c r="E418" t="s">
        <v>26</v>
      </c>
      <c r="F418" s="1">
        <v>5</v>
      </c>
      <c r="G418" s="1">
        <v>1038.49</v>
      </c>
      <c r="H418" s="1">
        <v>299.95</v>
      </c>
    </row>
    <row r="419" spans="1:8" x14ac:dyDescent="0.25">
      <c r="A419" t="s">
        <v>445</v>
      </c>
      <c r="B419" s="2">
        <v>45883</v>
      </c>
      <c r="C419" t="s">
        <v>22</v>
      </c>
      <c r="D419" t="s">
        <v>41</v>
      </c>
      <c r="E419" t="s">
        <v>11</v>
      </c>
      <c r="F419" s="1">
        <v>10</v>
      </c>
      <c r="G419" s="1">
        <v>597.46</v>
      </c>
      <c r="H419" s="1">
        <v>152.65</v>
      </c>
    </row>
    <row r="420" spans="1:8" x14ac:dyDescent="0.25">
      <c r="A420" t="s">
        <v>446</v>
      </c>
      <c r="B420" s="2">
        <v>45884</v>
      </c>
      <c r="C420" t="s">
        <v>28</v>
      </c>
      <c r="D420" t="s">
        <v>16</v>
      </c>
      <c r="E420" t="s">
        <v>17</v>
      </c>
      <c r="F420" s="1">
        <v>3</v>
      </c>
      <c r="G420" s="1">
        <v>3323.63</v>
      </c>
      <c r="H420" s="1">
        <v>818.74</v>
      </c>
    </row>
    <row r="421" spans="1:8" x14ac:dyDescent="0.25">
      <c r="A421" t="s">
        <v>447</v>
      </c>
      <c r="B421" s="2">
        <v>45854</v>
      </c>
      <c r="C421" t="s">
        <v>22</v>
      </c>
      <c r="D421" t="s">
        <v>10</v>
      </c>
      <c r="E421" t="s">
        <v>11</v>
      </c>
      <c r="F421" s="1">
        <v>3</v>
      </c>
      <c r="G421" s="1">
        <v>2745.94</v>
      </c>
      <c r="H421" s="1">
        <v>656.79</v>
      </c>
    </row>
    <row r="422" spans="1:8" x14ac:dyDescent="0.25">
      <c r="A422" t="s">
        <v>448</v>
      </c>
      <c r="B422" s="2">
        <v>45785</v>
      </c>
      <c r="C422" t="s">
        <v>22</v>
      </c>
      <c r="D422" t="s">
        <v>57</v>
      </c>
      <c r="E422" t="s">
        <v>14</v>
      </c>
      <c r="F422" s="1">
        <v>3</v>
      </c>
      <c r="G422" s="1">
        <v>1004.86</v>
      </c>
      <c r="H422" s="1">
        <v>255.28</v>
      </c>
    </row>
    <row r="423" spans="1:8" x14ac:dyDescent="0.25">
      <c r="A423" t="s">
        <v>449</v>
      </c>
      <c r="B423" s="2">
        <v>45754</v>
      </c>
      <c r="C423" t="s">
        <v>35</v>
      </c>
      <c r="D423" t="s">
        <v>41</v>
      </c>
      <c r="E423" t="s">
        <v>11</v>
      </c>
      <c r="F423" s="1">
        <v>5</v>
      </c>
      <c r="G423" s="1">
        <v>1431.31</v>
      </c>
      <c r="H423" s="1">
        <v>349.05</v>
      </c>
    </row>
    <row r="424" spans="1:8" x14ac:dyDescent="0.25">
      <c r="A424" t="s">
        <v>450</v>
      </c>
      <c r="B424" s="2">
        <v>45780</v>
      </c>
      <c r="C424" t="s">
        <v>35</v>
      </c>
      <c r="D424" t="s">
        <v>25</v>
      </c>
      <c r="E424" t="s">
        <v>26</v>
      </c>
      <c r="F424" s="1">
        <v>1</v>
      </c>
      <c r="G424" s="1">
        <v>951.37</v>
      </c>
      <c r="H424" s="1">
        <v>280.01</v>
      </c>
    </row>
    <row r="425" spans="1:8" x14ac:dyDescent="0.25">
      <c r="A425" t="s">
        <v>451</v>
      </c>
      <c r="B425" s="2">
        <v>45928</v>
      </c>
      <c r="C425" t="s">
        <v>9</v>
      </c>
      <c r="D425" t="s">
        <v>13</v>
      </c>
      <c r="E425" t="s">
        <v>14</v>
      </c>
      <c r="F425" s="1">
        <v>4</v>
      </c>
      <c r="G425" s="1">
        <v>2498.08</v>
      </c>
      <c r="H425" s="1">
        <v>600.44000000000005</v>
      </c>
    </row>
    <row r="426" spans="1:8" x14ac:dyDescent="0.25">
      <c r="A426" t="s">
        <v>452</v>
      </c>
      <c r="B426" s="2">
        <v>45873</v>
      </c>
      <c r="C426" t="s">
        <v>22</v>
      </c>
      <c r="D426" t="s">
        <v>30</v>
      </c>
      <c r="E426" t="s">
        <v>26</v>
      </c>
      <c r="F426" s="1">
        <v>3</v>
      </c>
      <c r="G426" s="1">
        <v>1484.59</v>
      </c>
      <c r="H426" s="1">
        <v>455.06</v>
      </c>
    </row>
    <row r="427" spans="1:8" x14ac:dyDescent="0.25">
      <c r="A427" t="s">
        <v>453</v>
      </c>
      <c r="B427" s="2">
        <v>45792</v>
      </c>
      <c r="C427" t="s">
        <v>28</v>
      </c>
      <c r="D427" t="s">
        <v>55</v>
      </c>
      <c r="E427" t="s">
        <v>17</v>
      </c>
      <c r="F427" s="1">
        <v>2</v>
      </c>
      <c r="G427" s="1">
        <v>138.38999999999999</v>
      </c>
      <c r="H427" s="1">
        <v>13.59</v>
      </c>
    </row>
    <row r="428" spans="1:8" x14ac:dyDescent="0.25">
      <c r="A428" t="s">
        <v>454</v>
      </c>
      <c r="B428" s="2">
        <v>45914</v>
      </c>
      <c r="C428" t="s">
        <v>35</v>
      </c>
      <c r="D428" t="s">
        <v>10</v>
      </c>
      <c r="E428" t="s">
        <v>11</v>
      </c>
      <c r="F428" s="1">
        <v>7</v>
      </c>
      <c r="G428" s="1">
        <v>4428.22</v>
      </c>
      <c r="H428" s="1">
        <v>1105.79</v>
      </c>
    </row>
    <row r="429" spans="1:8" x14ac:dyDescent="0.25">
      <c r="A429" t="s">
        <v>455</v>
      </c>
      <c r="B429" s="2">
        <v>45973</v>
      </c>
      <c r="C429" t="s">
        <v>28</v>
      </c>
      <c r="D429" t="s">
        <v>23</v>
      </c>
      <c r="E429" t="s">
        <v>14</v>
      </c>
      <c r="F429" s="1">
        <v>7</v>
      </c>
      <c r="G429" s="1">
        <v>1013.54</v>
      </c>
      <c r="H429" s="1">
        <v>227.92</v>
      </c>
    </row>
    <row r="430" spans="1:8" x14ac:dyDescent="0.25">
      <c r="A430" t="s">
        <v>456</v>
      </c>
      <c r="B430" s="2">
        <v>45737</v>
      </c>
      <c r="C430" t="s">
        <v>22</v>
      </c>
      <c r="D430" t="s">
        <v>33</v>
      </c>
      <c r="E430" t="s">
        <v>26</v>
      </c>
      <c r="F430" s="1">
        <v>5</v>
      </c>
      <c r="G430" s="1">
        <v>704.37</v>
      </c>
      <c r="H430" s="1">
        <v>231.49</v>
      </c>
    </row>
    <row r="431" spans="1:8" x14ac:dyDescent="0.25">
      <c r="A431" t="s">
        <v>457</v>
      </c>
      <c r="B431" s="2">
        <v>45780</v>
      </c>
      <c r="C431" t="s">
        <v>9</v>
      </c>
      <c r="D431" t="s">
        <v>23</v>
      </c>
      <c r="E431" t="s">
        <v>14</v>
      </c>
      <c r="F431" s="1">
        <v>2</v>
      </c>
      <c r="G431" s="1">
        <v>813.39</v>
      </c>
      <c r="H431" s="1">
        <v>161.15</v>
      </c>
    </row>
    <row r="432" spans="1:8" x14ac:dyDescent="0.25">
      <c r="A432" t="s">
        <v>458</v>
      </c>
      <c r="B432" s="2">
        <v>45686</v>
      </c>
      <c r="C432" t="s">
        <v>22</v>
      </c>
      <c r="D432" t="s">
        <v>48</v>
      </c>
      <c r="E432" t="s">
        <v>17</v>
      </c>
      <c r="F432" s="1">
        <v>7</v>
      </c>
      <c r="G432" s="1">
        <v>1283.69</v>
      </c>
      <c r="H432" s="1">
        <v>314.92</v>
      </c>
    </row>
    <row r="433" spans="1:8" x14ac:dyDescent="0.25">
      <c r="A433" t="s">
        <v>459</v>
      </c>
      <c r="B433" s="2">
        <v>45741</v>
      </c>
      <c r="C433" t="s">
        <v>35</v>
      </c>
      <c r="D433" t="s">
        <v>48</v>
      </c>
      <c r="E433" t="s">
        <v>17</v>
      </c>
      <c r="F433" s="1">
        <v>1</v>
      </c>
      <c r="G433" s="1">
        <v>864.09</v>
      </c>
      <c r="H433" s="1">
        <v>232.79</v>
      </c>
    </row>
    <row r="434" spans="1:8" x14ac:dyDescent="0.25">
      <c r="A434" t="s">
        <v>460</v>
      </c>
      <c r="B434" s="2">
        <v>45743</v>
      </c>
      <c r="C434" t="s">
        <v>22</v>
      </c>
      <c r="D434" t="s">
        <v>25</v>
      </c>
      <c r="E434" t="s">
        <v>26</v>
      </c>
      <c r="F434" s="1">
        <v>9</v>
      </c>
      <c r="G434" s="1">
        <v>8553.92</v>
      </c>
      <c r="H434" s="1">
        <v>2348.96</v>
      </c>
    </row>
    <row r="435" spans="1:8" x14ac:dyDescent="0.25">
      <c r="A435" t="s">
        <v>461</v>
      </c>
      <c r="B435" s="2">
        <v>45673</v>
      </c>
      <c r="C435" t="s">
        <v>22</v>
      </c>
      <c r="D435" t="s">
        <v>16</v>
      </c>
      <c r="E435" t="s">
        <v>17</v>
      </c>
      <c r="F435" s="1">
        <v>5</v>
      </c>
      <c r="G435" s="1">
        <v>4464.38</v>
      </c>
      <c r="H435" s="1">
        <v>499.45</v>
      </c>
    </row>
    <row r="436" spans="1:8" x14ac:dyDescent="0.25">
      <c r="A436" t="s">
        <v>462</v>
      </c>
      <c r="B436" s="2">
        <v>45953</v>
      </c>
      <c r="C436" t="s">
        <v>9</v>
      </c>
      <c r="D436" t="s">
        <v>57</v>
      </c>
      <c r="E436" t="s">
        <v>14</v>
      </c>
      <c r="F436" s="1">
        <v>9</v>
      </c>
      <c r="G436" s="1">
        <v>1111.08</v>
      </c>
      <c r="H436" s="1">
        <v>302.58</v>
      </c>
    </row>
    <row r="437" spans="1:8" x14ac:dyDescent="0.25">
      <c r="A437" t="s">
        <v>463</v>
      </c>
      <c r="B437" s="2">
        <v>45948</v>
      </c>
      <c r="C437" t="s">
        <v>28</v>
      </c>
      <c r="D437" t="s">
        <v>57</v>
      </c>
      <c r="E437" t="s">
        <v>14</v>
      </c>
      <c r="F437" s="1">
        <v>9</v>
      </c>
      <c r="G437" s="1">
        <v>4177.28</v>
      </c>
      <c r="H437" s="1">
        <v>897.68</v>
      </c>
    </row>
    <row r="438" spans="1:8" x14ac:dyDescent="0.25">
      <c r="A438" t="s">
        <v>464</v>
      </c>
      <c r="B438" s="2">
        <v>46003</v>
      </c>
      <c r="C438" t="s">
        <v>9</v>
      </c>
      <c r="D438" t="s">
        <v>33</v>
      </c>
      <c r="E438" t="s">
        <v>26</v>
      </c>
      <c r="F438" s="1">
        <v>5</v>
      </c>
      <c r="G438" s="1">
        <v>4696.6400000000003</v>
      </c>
      <c r="H438" s="1">
        <v>1509.75</v>
      </c>
    </row>
    <row r="439" spans="1:8" x14ac:dyDescent="0.25">
      <c r="A439" t="s">
        <v>465</v>
      </c>
      <c r="B439" s="2">
        <v>45664</v>
      </c>
      <c r="C439" t="s">
        <v>28</v>
      </c>
      <c r="D439" t="s">
        <v>16</v>
      </c>
      <c r="E439" t="s">
        <v>17</v>
      </c>
      <c r="F439" s="1">
        <v>9</v>
      </c>
      <c r="G439" s="1">
        <v>476.58</v>
      </c>
      <c r="H439" s="1">
        <v>148.62</v>
      </c>
    </row>
    <row r="440" spans="1:8" x14ac:dyDescent="0.25">
      <c r="A440" t="s">
        <v>466</v>
      </c>
      <c r="B440" s="2">
        <v>45676</v>
      </c>
      <c r="C440" t="s">
        <v>35</v>
      </c>
      <c r="D440" t="s">
        <v>20</v>
      </c>
      <c r="E440" t="s">
        <v>11</v>
      </c>
      <c r="F440" s="1">
        <v>6</v>
      </c>
      <c r="G440" s="1">
        <v>2942.56</v>
      </c>
      <c r="H440" s="1">
        <v>354.65</v>
      </c>
    </row>
    <row r="441" spans="1:8" x14ac:dyDescent="0.25">
      <c r="A441" t="s">
        <v>467</v>
      </c>
      <c r="B441" s="2">
        <v>45796</v>
      </c>
      <c r="C441" t="s">
        <v>9</v>
      </c>
      <c r="D441" t="s">
        <v>55</v>
      </c>
      <c r="E441" t="s">
        <v>17</v>
      </c>
      <c r="F441" s="1">
        <v>4</v>
      </c>
      <c r="G441" s="1">
        <v>2114.7800000000002</v>
      </c>
      <c r="H441" s="1">
        <v>580.46</v>
      </c>
    </row>
    <row r="442" spans="1:8" x14ac:dyDescent="0.25">
      <c r="A442" t="s">
        <v>468</v>
      </c>
      <c r="B442" s="2">
        <v>45772</v>
      </c>
      <c r="C442" t="s">
        <v>9</v>
      </c>
      <c r="D442" t="s">
        <v>33</v>
      </c>
      <c r="E442" t="s">
        <v>26</v>
      </c>
      <c r="F442" s="1">
        <v>9</v>
      </c>
      <c r="G442" s="1">
        <v>7418.92</v>
      </c>
      <c r="H442" s="1">
        <v>699.02</v>
      </c>
    </row>
    <row r="443" spans="1:8" x14ac:dyDescent="0.25">
      <c r="A443" t="s">
        <v>469</v>
      </c>
      <c r="B443" s="2">
        <v>45817</v>
      </c>
      <c r="C443" t="s">
        <v>22</v>
      </c>
      <c r="D443" t="s">
        <v>13</v>
      </c>
      <c r="E443" t="s">
        <v>14</v>
      </c>
      <c r="F443" s="1">
        <v>8</v>
      </c>
      <c r="G443" s="1">
        <v>8367.5</v>
      </c>
      <c r="H443" s="1">
        <v>2416.9699999999998</v>
      </c>
    </row>
    <row r="444" spans="1:8" x14ac:dyDescent="0.25">
      <c r="A444" t="s">
        <v>470</v>
      </c>
      <c r="B444" s="2">
        <v>45946</v>
      </c>
      <c r="C444" t="s">
        <v>22</v>
      </c>
      <c r="D444" t="s">
        <v>41</v>
      </c>
      <c r="E444" t="s">
        <v>11</v>
      </c>
      <c r="F444" s="1">
        <v>8</v>
      </c>
      <c r="G444" s="1">
        <v>473.32</v>
      </c>
      <c r="H444" s="1">
        <v>63.51</v>
      </c>
    </row>
    <row r="445" spans="1:8" x14ac:dyDescent="0.25">
      <c r="A445" t="s">
        <v>471</v>
      </c>
      <c r="B445" s="2">
        <v>45758</v>
      </c>
      <c r="C445" t="s">
        <v>28</v>
      </c>
      <c r="D445" t="s">
        <v>55</v>
      </c>
      <c r="E445" t="s">
        <v>17</v>
      </c>
      <c r="F445" s="1">
        <v>6</v>
      </c>
      <c r="G445" s="1">
        <v>4382.67</v>
      </c>
      <c r="H445" s="1">
        <v>934.42</v>
      </c>
    </row>
    <row r="446" spans="1:8" x14ac:dyDescent="0.25">
      <c r="A446" t="s">
        <v>472</v>
      </c>
      <c r="B446" s="2">
        <v>45983</v>
      </c>
      <c r="C446" t="s">
        <v>9</v>
      </c>
      <c r="D446" t="s">
        <v>48</v>
      </c>
      <c r="E446" t="s">
        <v>17</v>
      </c>
      <c r="F446" s="1">
        <v>7</v>
      </c>
      <c r="G446" s="1">
        <v>542.48</v>
      </c>
      <c r="H446" s="1">
        <v>122.72</v>
      </c>
    </row>
    <row r="447" spans="1:8" x14ac:dyDescent="0.25">
      <c r="A447" t="s">
        <v>473</v>
      </c>
      <c r="B447" s="2">
        <v>45711</v>
      </c>
      <c r="C447" t="s">
        <v>28</v>
      </c>
      <c r="D447" t="s">
        <v>33</v>
      </c>
      <c r="E447" t="s">
        <v>26</v>
      </c>
      <c r="F447" s="1">
        <v>7</v>
      </c>
      <c r="G447" s="1">
        <v>7184.5</v>
      </c>
      <c r="H447" s="1">
        <v>1985.42</v>
      </c>
    </row>
    <row r="448" spans="1:8" x14ac:dyDescent="0.25">
      <c r="A448" t="s">
        <v>474</v>
      </c>
      <c r="B448" s="2">
        <v>45730</v>
      </c>
      <c r="C448" t="s">
        <v>22</v>
      </c>
      <c r="D448" t="s">
        <v>55</v>
      </c>
      <c r="E448" t="s">
        <v>17</v>
      </c>
      <c r="F448" s="1">
        <v>8</v>
      </c>
      <c r="G448" s="1">
        <v>9242.9</v>
      </c>
      <c r="H448" s="1">
        <v>3166.53</v>
      </c>
    </row>
    <row r="449" spans="1:8" x14ac:dyDescent="0.25">
      <c r="A449" t="s">
        <v>475</v>
      </c>
      <c r="B449" s="2">
        <v>46016</v>
      </c>
      <c r="C449" t="s">
        <v>22</v>
      </c>
      <c r="D449" t="s">
        <v>10</v>
      </c>
      <c r="E449" t="s">
        <v>11</v>
      </c>
      <c r="F449" s="1">
        <v>4</v>
      </c>
      <c r="G449" s="1">
        <v>4327.5200000000004</v>
      </c>
      <c r="H449" s="1">
        <v>953.5</v>
      </c>
    </row>
    <row r="450" spans="1:8" x14ac:dyDescent="0.25">
      <c r="A450" t="s">
        <v>476</v>
      </c>
      <c r="B450" s="2">
        <v>45984</v>
      </c>
      <c r="C450" t="s">
        <v>35</v>
      </c>
      <c r="D450" t="s">
        <v>23</v>
      </c>
      <c r="E450" t="s">
        <v>14</v>
      </c>
      <c r="F450" s="1">
        <v>2</v>
      </c>
      <c r="G450" s="1">
        <v>1435.77</v>
      </c>
      <c r="H450" s="1">
        <v>310.79000000000002</v>
      </c>
    </row>
    <row r="451" spans="1:8" x14ac:dyDescent="0.25">
      <c r="A451" t="s">
        <v>477</v>
      </c>
      <c r="B451" s="2">
        <v>45724</v>
      </c>
      <c r="C451" t="s">
        <v>28</v>
      </c>
      <c r="D451" t="s">
        <v>41</v>
      </c>
      <c r="E451" t="s">
        <v>11</v>
      </c>
      <c r="F451" s="1">
        <v>10</v>
      </c>
      <c r="G451" s="1">
        <v>1216.25</v>
      </c>
      <c r="H451" s="1">
        <v>314.83999999999997</v>
      </c>
    </row>
    <row r="452" spans="1:8" x14ac:dyDescent="0.25">
      <c r="A452" t="s">
        <v>478</v>
      </c>
      <c r="B452" s="2">
        <v>45825</v>
      </c>
      <c r="C452" t="s">
        <v>22</v>
      </c>
      <c r="D452" t="s">
        <v>30</v>
      </c>
      <c r="E452" t="s">
        <v>26</v>
      </c>
      <c r="F452" s="1">
        <v>6</v>
      </c>
      <c r="G452" s="1">
        <v>6689.69</v>
      </c>
      <c r="H452" s="1">
        <v>1244.93</v>
      </c>
    </row>
    <row r="453" spans="1:8" x14ac:dyDescent="0.25">
      <c r="A453" t="s">
        <v>479</v>
      </c>
      <c r="B453" s="2">
        <v>45957</v>
      </c>
      <c r="C453" t="s">
        <v>9</v>
      </c>
      <c r="D453" t="s">
        <v>57</v>
      </c>
      <c r="E453" t="s">
        <v>14</v>
      </c>
      <c r="F453" s="1">
        <v>4</v>
      </c>
      <c r="G453" s="1">
        <v>543.55999999999995</v>
      </c>
      <c r="H453" s="1">
        <v>73.239999999999995</v>
      </c>
    </row>
    <row r="454" spans="1:8" x14ac:dyDescent="0.25">
      <c r="A454" t="s">
        <v>480</v>
      </c>
      <c r="B454" s="2">
        <v>45719</v>
      </c>
      <c r="C454" t="s">
        <v>22</v>
      </c>
      <c r="D454" t="s">
        <v>48</v>
      </c>
      <c r="E454" t="s">
        <v>17</v>
      </c>
      <c r="F454" s="1">
        <v>3</v>
      </c>
      <c r="G454" s="1">
        <v>1701.01</v>
      </c>
      <c r="H454" s="1">
        <v>280.31</v>
      </c>
    </row>
    <row r="455" spans="1:8" x14ac:dyDescent="0.25">
      <c r="A455" t="s">
        <v>481</v>
      </c>
      <c r="B455" s="2">
        <v>45704</v>
      </c>
      <c r="C455" t="s">
        <v>28</v>
      </c>
      <c r="D455" t="s">
        <v>55</v>
      </c>
      <c r="E455" t="s">
        <v>17</v>
      </c>
      <c r="F455" s="1">
        <v>5</v>
      </c>
      <c r="G455" s="1">
        <v>2914.24</v>
      </c>
      <c r="H455" s="1">
        <v>903.91</v>
      </c>
    </row>
    <row r="456" spans="1:8" x14ac:dyDescent="0.25">
      <c r="A456" t="s">
        <v>482</v>
      </c>
      <c r="B456" s="2">
        <v>45825</v>
      </c>
      <c r="C456" t="s">
        <v>28</v>
      </c>
      <c r="D456" t="s">
        <v>25</v>
      </c>
      <c r="E456" t="s">
        <v>26</v>
      </c>
      <c r="F456" s="1">
        <v>10</v>
      </c>
      <c r="G456" s="1">
        <v>963.79</v>
      </c>
      <c r="H456" s="1">
        <v>294.63</v>
      </c>
    </row>
    <row r="457" spans="1:8" x14ac:dyDescent="0.25">
      <c r="A457" t="s">
        <v>483</v>
      </c>
      <c r="B457" s="2">
        <v>45683</v>
      </c>
      <c r="C457" t="s">
        <v>22</v>
      </c>
      <c r="D457" t="s">
        <v>41</v>
      </c>
      <c r="E457" t="s">
        <v>11</v>
      </c>
      <c r="F457" s="1">
        <v>4</v>
      </c>
      <c r="G457" s="1">
        <v>4654.6400000000003</v>
      </c>
      <c r="H457" s="1">
        <v>870.35</v>
      </c>
    </row>
    <row r="458" spans="1:8" x14ac:dyDescent="0.25">
      <c r="A458" t="s">
        <v>484</v>
      </c>
      <c r="B458" s="2">
        <v>45942</v>
      </c>
      <c r="C458" t="s">
        <v>28</v>
      </c>
      <c r="D458" t="s">
        <v>33</v>
      </c>
      <c r="E458" t="s">
        <v>26</v>
      </c>
      <c r="F458" s="1">
        <v>1</v>
      </c>
      <c r="G458" s="1">
        <v>1144.9100000000001</v>
      </c>
      <c r="H458" s="1">
        <v>355.77</v>
      </c>
    </row>
    <row r="459" spans="1:8" x14ac:dyDescent="0.25">
      <c r="A459" t="s">
        <v>485</v>
      </c>
      <c r="B459" s="2">
        <v>45664</v>
      </c>
      <c r="C459" t="s">
        <v>9</v>
      </c>
      <c r="D459" t="s">
        <v>20</v>
      </c>
      <c r="E459" t="s">
        <v>11</v>
      </c>
      <c r="F459" s="1">
        <v>2</v>
      </c>
      <c r="G459" s="1">
        <v>1948.96</v>
      </c>
      <c r="H459" s="1">
        <v>229.48</v>
      </c>
    </row>
    <row r="460" spans="1:8" x14ac:dyDescent="0.25">
      <c r="A460" t="s">
        <v>486</v>
      </c>
      <c r="B460" s="2">
        <v>45980</v>
      </c>
      <c r="C460" t="s">
        <v>9</v>
      </c>
      <c r="D460" t="s">
        <v>48</v>
      </c>
      <c r="E460" t="s">
        <v>17</v>
      </c>
      <c r="F460" s="1">
        <v>4</v>
      </c>
      <c r="G460" s="1">
        <v>3988.9</v>
      </c>
      <c r="H460" s="1">
        <v>720.02</v>
      </c>
    </row>
    <row r="461" spans="1:8" x14ac:dyDescent="0.25">
      <c r="A461" t="s">
        <v>487</v>
      </c>
      <c r="B461" s="2">
        <v>45988</v>
      </c>
      <c r="C461" t="s">
        <v>35</v>
      </c>
      <c r="D461" t="s">
        <v>33</v>
      </c>
      <c r="E461" t="s">
        <v>26</v>
      </c>
      <c r="F461" s="1">
        <v>1</v>
      </c>
      <c r="G461" s="1">
        <v>1196.74</v>
      </c>
      <c r="H461" s="1">
        <v>159.63999999999999</v>
      </c>
    </row>
    <row r="462" spans="1:8" x14ac:dyDescent="0.25">
      <c r="A462" t="s">
        <v>488</v>
      </c>
      <c r="B462" s="2">
        <v>45683</v>
      </c>
      <c r="C462" t="s">
        <v>28</v>
      </c>
      <c r="D462" t="s">
        <v>48</v>
      </c>
      <c r="E462" t="s">
        <v>17</v>
      </c>
      <c r="F462" s="1">
        <v>6</v>
      </c>
      <c r="G462" s="1">
        <v>1145.44</v>
      </c>
      <c r="H462" s="1">
        <v>383.05</v>
      </c>
    </row>
    <row r="463" spans="1:8" x14ac:dyDescent="0.25">
      <c r="A463" t="s">
        <v>489</v>
      </c>
      <c r="B463" s="2">
        <v>45876</v>
      </c>
      <c r="C463" t="s">
        <v>28</v>
      </c>
      <c r="D463" t="s">
        <v>23</v>
      </c>
      <c r="E463" t="s">
        <v>14</v>
      </c>
      <c r="F463" s="1">
        <v>7</v>
      </c>
      <c r="G463" s="1">
        <v>4343.82</v>
      </c>
      <c r="H463" s="1">
        <v>796.38</v>
      </c>
    </row>
    <row r="464" spans="1:8" x14ac:dyDescent="0.25">
      <c r="A464" t="s">
        <v>490</v>
      </c>
      <c r="B464" s="2">
        <v>45734</v>
      </c>
      <c r="C464" t="s">
        <v>9</v>
      </c>
      <c r="D464" t="s">
        <v>33</v>
      </c>
      <c r="E464" t="s">
        <v>26</v>
      </c>
      <c r="F464" s="1">
        <v>3</v>
      </c>
      <c r="G464" s="1">
        <v>1098.69</v>
      </c>
      <c r="H464" s="1">
        <v>220.2</v>
      </c>
    </row>
    <row r="465" spans="1:8" x14ac:dyDescent="0.25">
      <c r="A465" t="s">
        <v>491</v>
      </c>
      <c r="B465" s="2">
        <v>45903</v>
      </c>
      <c r="C465" t="s">
        <v>9</v>
      </c>
      <c r="D465" t="s">
        <v>16</v>
      </c>
      <c r="E465" t="s">
        <v>17</v>
      </c>
      <c r="F465" s="1">
        <v>5</v>
      </c>
      <c r="G465" s="1">
        <v>3118.63</v>
      </c>
      <c r="H465" s="1">
        <v>992.82</v>
      </c>
    </row>
    <row r="466" spans="1:8" x14ac:dyDescent="0.25">
      <c r="A466" t="s">
        <v>492</v>
      </c>
      <c r="B466" s="2">
        <v>45927</v>
      </c>
      <c r="C466" t="s">
        <v>28</v>
      </c>
      <c r="D466" t="s">
        <v>20</v>
      </c>
      <c r="E466" t="s">
        <v>11</v>
      </c>
      <c r="F466" s="1">
        <v>7</v>
      </c>
      <c r="G466" s="1">
        <v>1454.75</v>
      </c>
      <c r="H466" s="1">
        <v>194.72</v>
      </c>
    </row>
    <row r="467" spans="1:8" x14ac:dyDescent="0.25">
      <c r="A467" t="s">
        <v>493</v>
      </c>
      <c r="B467" s="2">
        <v>45834</v>
      </c>
      <c r="C467" t="s">
        <v>22</v>
      </c>
      <c r="D467" t="s">
        <v>20</v>
      </c>
      <c r="E467" t="s">
        <v>11</v>
      </c>
      <c r="F467" s="1">
        <v>6</v>
      </c>
      <c r="G467" s="1">
        <v>3609.82</v>
      </c>
      <c r="H467" s="1">
        <v>1050.4100000000001</v>
      </c>
    </row>
    <row r="468" spans="1:8" x14ac:dyDescent="0.25">
      <c r="A468" t="s">
        <v>494</v>
      </c>
      <c r="B468" s="2">
        <v>45673</v>
      </c>
      <c r="C468" t="s">
        <v>22</v>
      </c>
      <c r="D468" t="s">
        <v>57</v>
      </c>
      <c r="E468" t="s">
        <v>14</v>
      </c>
      <c r="F468" s="1">
        <v>3</v>
      </c>
      <c r="G468" s="1">
        <v>239.92</v>
      </c>
      <c r="H468" s="1">
        <v>57.87</v>
      </c>
    </row>
    <row r="469" spans="1:8" x14ac:dyDescent="0.25">
      <c r="A469" t="s">
        <v>495</v>
      </c>
      <c r="B469" s="2">
        <v>45777</v>
      </c>
      <c r="C469" t="s">
        <v>28</v>
      </c>
      <c r="D469" t="s">
        <v>20</v>
      </c>
      <c r="E469" t="s">
        <v>11</v>
      </c>
      <c r="F469" s="1">
        <v>9</v>
      </c>
      <c r="G469" s="1">
        <v>4149.43</v>
      </c>
      <c r="H469" s="1">
        <v>986.22</v>
      </c>
    </row>
    <row r="470" spans="1:8" x14ac:dyDescent="0.25">
      <c r="A470" t="s">
        <v>496</v>
      </c>
      <c r="B470" s="2">
        <v>45686</v>
      </c>
      <c r="C470" t="s">
        <v>28</v>
      </c>
      <c r="D470" t="s">
        <v>10</v>
      </c>
      <c r="E470" t="s">
        <v>11</v>
      </c>
      <c r="F470" s="1">
        <v>4</v>
      </c>
      <c r="G470" s="1">
        <v>1426.02</v>
      </c>
      <c r="H470" s="1">
        <v>428.37</v>
      </c>
    </row>
    <row r="471" spans="1:8" x14ac:dyDescent="0.25">
      <c r="A471" t="s">
        <v>497</v>
      </c>
      <c r="B471" s="2">
        <v>46015</v>
      </c>
      <c r="C471" t="s">
        <v>22</v>
      </c>
      <c r="D471" t="s">
        <v>57</v>
      </c>
      <c r="E471" t="s">
        <v>14</v>
      </c>
      <c r="F471" s="1">
        <v>3</v>
      </c>
      <c r="G471" s="1">
        <v>757.55</v>
      </c>
      <c r="H471" s="1">
        <v>181.8</v>
      </c>
    </row>
    <row r="472" spans="1:8" x14ac:dyDescent="0.25">
      <c r="A472" t="s">
        <v>498</v>
      </c>
      <c r="B472" s="2">
        <v>45946</v>
      </c>
      <c r="C472" t="s">
        <v>28</v>
      </c>
      <c r="D472" t="s">
        <v>41</v>
      </c>
      <c r="E472" t="s">
        <v>11</v>
      </c>
      <c r="F472" s="1">
        <v>6</v>
      </c>
      <c r="G472" s="1">
        <v>6838.16</v>
      </c>
      <c r="H472" s="1">
        <v>1587.64</v>
      </c>
    </row>
    <row r="473" spans="1:8" x14ac:dyDescent="0.25">
      <c r="A473" t="s">
        <v>499</v>
      </c>
      <c r="B473" s="2">
        <v>45686</v>
      </c>
      <c r="C473" t="s">
        <v>28</v>
      </c>
      <c r="D473" t="s">
        <v>23</v>
      </c>
      <c r="E473" t="s">
        <v>14</v>
      </c>
      <c r="F473" s="1">
        <v>5</v>
      </c>
      <c r="G473" s="1">
        <v>1259.45</v>
      </c>
      <c r="H473" s="1">
        <v>113.67</v>
      </c>
    </row>
    <row r="474" spans="1:8" x14ac:dyDescent="0.25">
      <c r="A474" t="s">
        <v>500</v>
      </c>
      <c r="B474" s="2">
        <v>45972</v>
      </c>
      <c r="C474" t="s">
        <v>28</v>
      </c>
      <c r="D474" t="s">
        <v>48</v>
      </c>
      <c r="E474" t="s">
        <v>17</v>
      </c>
      <c r="F474" s="1">
        <v>9</v>
      </c>
      <c r="G474" s="1">
        <v>5397.19</v>
      </c>
      <c r="H474" s="1">
        <v>915.19</v>
      </c>
    </row>
    <row r="475" spans="1:8" x14ac:dyDescent="0.25">
      <c r="A475" t="s">
        <v>501</v>
      </c>
      <c r="B475" s="2">
        <v>45823</v>
      </c>
      <c r="C475" t="s">
        <v>9</v>
      </c>
      <c r="D475" t="s">
        <v>55</v>
      </c>
      <c r="E475" t="s">
        <v>17</v>
      </c>
      <c r="F475" s="1">
        <v>3</v>
      </c>
      <c r="G475" s="1">
        <v>3319.79</v>
      </c>
      <c r="H475" s="1">
        <v>1022.35</v>
      </c>
    </row>
    <row r="476" spans="1:8" x14ac:dyDescent="0.25">
      <c r="A476" t="s">
        <v>502</v>
      </c>
      <c r="B476" s="2">
        <v>45714</v>
      </c>
      <c r="C476" t="s">
        <v>22</v>
      </c>
      <c r="D476" t="s">
        <v>10</v>
      </c>
      <c r="E476" t="s">
        <v>11</v>
      </c>
      <c r="F476" s="1">
        <v>10</v>
      </c>
      <c r="G476" s="1">
        <v>8604.01</v>
      </c>
      <c r="H476" s="1">
        <v>1017.39</v>
      </c>
    </row>
    <row r="477" spans="1:8" x14ac:dyDescent="0.25">
      <c r="A477" t="s">
        <v>503</v>
      </c>
      <c r="B477" s="2">
        <v>45823</v>
      </c>
      <c r="C477" t="s">
        <v>28</v>
      </c>
      <c r="D477" t="s">
        <v>20</v>
      </c>
      <c r="E477" t="s">
        <v>11</v>
      </c>
      <c r="F477" s="1">
        <v>7</v>
      </c>
      <c r="G477" s="1">
        <v>5067.43</v>
      </c>
      <c r="H477" s="1">
        <v>865.88</v>
      </c>
    </row>
    <row r="478" spans="1:8" x14ac:dyDescent="0.25">
      <c r="A478" t="s">
        <v>504</v>
      </c>
      <c r="B478" s="2">
        <v>45990</v>
      </c>
      <c r="C478" t="s">
        <v>22</v>
      </c>
      <c r="D478" t="s">
        <v>16</v>
      </c>
      <c r="E478" t="s">
        <v>17</v>
      </c>
      <c r="F478" s="1">
        <v>7</v>
      </c>
      <c r="G478" s="1">
        <v>6724.33</v>
      </c>
      <c r="H478" s="1">
        <v>2282.09</v>
      </c>
    </row>
    <row r="479" spans="1:8" x14ac:dyDescent="0.25">
      <c r="A479" t="s">
        <v>505</v>
      </c>
      <c r="B479" s="2">
        <v>45840</v>
      </c>
      <c r="C479" t="s">
        <v>28</v>
      </c>
      <c r="D479" t="s">
        <v>16</v>
      </c>
      <c r="E479" t="s">
        <v>17</v>
      </c>
      <c r="F479" s="1">
        <v>9</v>
      </c>
      <c r="G479" s="1">
        <v>7628.35</v>
      </c>
      <c r="H479" s="1">
        <v>2523.37</v>
      </c>
    </row>
    <row r="480" spans="1:8" x14ac:dyDescent="0.25">
      <c r="A480" t="s">
        <v>506</v>
      </c>
      <c r="B480" s="2">
        <v>45748</v>
      </c>
      <c r="C480" t="s">
        <v>9</v>
      </c>
      <c r="D480" t="s">
        <v>55</v>
      </c>
      <c r="E480" t="s">
        <v>17</v>
      </c>
      <c r="F480" s="1">
        <v>5</v>
      </c>
      <c r="G480" s="1">
        <v>4470.47</v>
      </c>
      <c r="H480" s="1">
        <v>713.13</v>
      </c>
    </row>
    <row r="481" spans="1:8" x14ac:dyDescent="0.25">
      <c r="A481" t="s">
        <v>507</v>
      </c>
      <c r="B481" s="2">
        <v>45971</v>
      </c>
      <c r="C481" t="s">
        <v>28</v>
      </c>
      <c r="D481" t="s">
        <v>23</v>
      </c>
      <c r="E481" t="s">
        <v>14</v>
      </c>
      <c r="F481" s="1">
        <v>1</v>
      </c>
      <c r="G481" s="1">
        <v>259.39</v>
      </c>
      <c r="H481" s="1">
        <v>43.04</v>
      </c>
    </row>
    <row r="482" spans="1:8" x14ac:dyDescent="0.25">
      <c r="A482" t="s">
        <v>508</v>
      </c>
      <c r="B482" s="2">
        <v>45835</v>
      </c>
      <c r="C482" t="s">
        <v>22</v>
      </c>
      <c r="D482" t="s">
        <v>20</v>
      </c>
      <c r="E482" t="s">
        <v>11</v>
      </c>
      <c r="F482" s="1">
        <v>3</v>
      </c>
      <c r="G482" s="1">
        <v>1292.53</v>
      </c>
      <c r="H482" s="1">
        <v>130.56</v>
      </c>
    </row>
    <row r="483" spans="1:8" x14ac:dyDescent="0.25">
      <c r="A483" t="s">
        <v>509</v>
      </c>
      <c r="B483" s="2">
        <v>45829</v>
      </c>
      <c r="C483" t="s">
        <v>35</v>
      </c>
      <c r="D483" t="s">
        <v>16</v>
      </c>
      <c r="E483" t="s">
        <v>17</v>
      </c>
      <c r="F483" s="1">
        <v>2</v>
      </c>
      <c r="G483" s="1">
        <v>1989.82</v>
      </c>
      <c r="H483" s="1">
        <v>519.16</v>
      </c>
    </row>
    <row r="484" spans="1:8" x14ac:dyDescent="0.25">
      <c r="A484" t="s">
        <v>510</v>
      </c>
      <c r="B484" s="2">
        <v>45789</v>
      </c>
      <c r="C484" t="s">
        <v>9</v>
      </c>
      <c r="D484" t="s">
        <v>20</v>
      </c>
      <c r="E484" t="s">
        <v>11</v>
      </c>
      <c r="F484" s="1">
        <v>4</v>
      </c>
      <c r="G484" s="1">
        <v>1347.89</v>
      </c>
      <c r="H484" s="1">
        <v>132.5</v>
      </c>
    </row>
    <row r="485" spans="1:8" x14ac:dyDescent="0.25">
      <c r="A485" t="s">
        <v>511</v>
      </c>
      <c r="B485" s="2">
        <v>45743</v>
      </c>
      <c r="C485" t="s">
        <v>35</v>
      </c>
      <c r="D485" t="s">
        <v>10</v>
      </c>
      <c r="E485" t="s">
        <v>11</v>
      </c>
      <c r="F485" s="1">
        <v>7</v>
      </c>
      <c r="G485" s="1">
        <v>3877.67</v>
      </c>
      <c r="H485" s="1">
        <v>749.58</v>
      </c>
    </row>
    <row r="486" spans="1:8" x14ac:dyDescent="0.25">
      <c r="A486" t="s">
        <v>512</v>
      </c>
      <c r="B486" s="2">
        <v>45903</v>
      </c>
      <c r="C486" t="s">
        <v>28</v>
      </c>
      <c r="D486" t="s">
        <v>57</v>
      </c>
      <c r="E486" t="s">
        <v>14</v>
      </c>
      <c r="F486" s="1">
        <v>6</v>
      </c>
      <c r="G486" s="1">
        <v>4067.57</v>
      </c>
      <c r="H486" s="1">
        <v>436.8</v>
      </c>
    </row>
    <row r="487" spans="1:8" x14ac:dyDescent="0.25">
      <c r="A487" t="s">
        <v>513</v>
      </c>
      <c r="B487" s="2">
        <v>45668</v>
      </c>
      <c r="C487" t="s">
        <v>22</v>
      </c>
      <c r="D487" t="s">
        <v>55</v>
      </c>
      <c r="E487" t="s">
        <v>17</v>
      </c>
      <c r="F487" s="1">
        <v>2</v>
      </c>
      <c r="G487" s="1">
        <v>1938.15</v>
      </c>
      <c r="H487" s="1">
        <v>172.54</v>
      </c>
    </row>
    <row r="488" spans="1:8" x14ac:dyDescent="0.25">
      <c r="A488" t="s">
        <v>514</v>
      </c>
      <c r="B488" s="2">
        <v>45740</v>
      </c>
      <c r="C488" t="s">
        <v>9</v>
      </c>
      <c r="D488" t="s">
        <v>33</v>
      </c>
      <c r="E488" t="s">
        <v>26</v>
      </c>
      <c r="F488" s="1">
        <v>2</v>
      </c>
      <c r="G488" s="1">
        <v>886.16</v>
      </c>
      <c r="H488" s="1">
        <v>283.33999999999997</v>
      </c>
    </row>
    <row r="489" spans="1:8" x14ac:dyDescent="0.25">
      <c r="A489" t="s">
        <v>515</v>
      </c>
      <c r="B489" s="2">
        <v>46018</v>
      </c>
      <c r="C489" t="s">
        <v>9</v>
      </c>
      <c r="D489" t="s">
        <v>20</v>
      </c>
      <c r="E489" t="s">
        <v>11</v>
      </c>
      <c r="F489" s="1">
        <v>10</v>
      </c>
      <c r="G489" s="1">
        <v>11830.68</v>
      </c>
      <c r="H489" s="1">
        <v>3799.67</v>
      </c>
    </row>
    <row r="490" spans="1:8" x14ac:dyDescent="0.25">
      <c r="A490" t="s">
        <v>516</v>
      </c>
      <c r="B490" s="2">
        <v>45685</v>
      </c>
      <c r="C490" t="s">
        <v>9</v>
      </c>
      <c r="D490" t="s">
        <v>23</v>
      </c>
      <c r="E490" t="s">
        <v>14</v>
      </c>
      <c r="F490" s="1">
        <v>3</v>
      </c>
      <c r="G490" s="1">
        <v>2245.25</v>
      </c>
      <c r="H490" s="1">
        <v>442.84</v>
      </c>
    </row>
    <row r="491" spans="1:8" x14ac:dyDescent="0.25">
      <c r="A491" t="s">
        <v>517</v>
      </c>
      <c r="B491" s="2">
        <v>45934</v>
      </c>
      <c r="C491" t="s">
        <v>22</v>
      </c>
      <c r="D491" t="s">
        <v>33</v>
      </c>
      <c r="E491" t="s">
        <v>26</v>
      </c>
      <c r="F491" s="1">
        <v>4</v>
      </c>
      <c r="G491" s="1">
        <v>2082.69</v>
      </c>
      <c r="H491" s="1">
        <v>478.21</v>
      </c>
    </row>
    <row r="492" spans="1:8" x14ac:dyDescent="0.25">
      <c r="A492" t="s">
        <v>518</v>
      </c>
      <c r="B492" s="2">
        <v>45939</v>
      </c>
      <c r="C492" t="s">
        <v>35</v>
      </c>
      <c r="D492" t="s">
        <v>30</v>
      </c>
      <c r="E492" t="s">
        <v>26</v>
      </c>
      <c r="F492" s="1">
        <v>4</v>
      </c>
      <c r="G492" s="1">
        <v>641.21</v>
      </c>
      <c r="H492" s="1">
        <v>119.32</v>
      </c>
    </row>
    <row r="493" spans="1:8" x14ac:dyDescent="0.25">
      <c r="A493" t="s">
        <v>519</v>
      </c>
      <c r="B493" s="2">
        <v>45996</v>
      </c>
      <c r="C493" t="s">
        <v>35</v>
      </c>
      <c r="D493" t="s">
        <v>48</v>
      </c>
      <c r="E493" t="s">
        <v>17</v>
      </c>
      <c r="F493" s="1">
        <v>6</v>
      </c>
      <c r="G493" s="1">
        <v>326.33</v>
      </c>
      <c r="H493" s="1">
        <v>33.83</v>
      </c>
    </row>
    <row r="494" spans="1:8" x14ac:dyDescent="0.25">
      <c r="A494" t="s">
        <v>520</v>
      </c>
      <c r="B494" s="2">
        <v>45699</v>
      </c>
      <c r="C494" t="s">
        <v>35</v>
      </c>
      <c r="D494" t="s">
        <v>48</v>
      </c>
      <c r="E494" t="s">
        <v>17</v>
      </c>
      <c r="F494" s="1">
        <v>1</v>
      </c>
      <c r="G494" s="1">
        <v>288</v>
      </c>
      <c r="H494" s="1">
        <v>72.67</v>
      </c>
    </row>
    <row r="495" spans="1:8" x14ac:dyDescent="0.25">
      <c r="A495" t="s">
        <v>521</v>
      </c>
      <c r="B495" s="2">
        <v>45793</v>
      </c>
      <c r="C495" t="s">
        <v>9</v>
      </c>
      <c r="D495" t="s">
        <v>20</v>
      </c>
      <c r="E495" t="s">
        <v>11</v>
      </c>
      <c r="F495" s="1">
        <v>7</v>
      </c>
      <c r="G495" s="1">
        <v>4141.1000000000004</v>
      </c>
      <c r="H495" s="1">
        <v>1331.85</v>
      </c>
    </row>
    <row r="496" spans="1:8" x14ac:dyDescent="0.25">
      <c r="A496" t="s">
        <v>522</v>
      </c>
      <c r="B496" s="2">
        <v>45886</v>
      </c>
      <c r="C496" t="s">
        <v>9</v>
      </c>
      <c r="D496" t="s">
        <v>13</v>
      </c>
      <c r="E496" t="s">
        <v>14</v>
      </c>
      <c r="F496" s="1">
        <v>6</v>
      </c>
      <c r="G496" s="1">
        <v>6409.9</v>
      </c>
      <c r="H496" s="1">
        <v>1152.1099999999999</v>
      </c>
    </row>
    <row r="497" spans="1:8" x14ac:dyDescent="0.25">
      <c r="A497" t="s">
        <v>523</v>
      </c>
      <c r="B497" s="2">
        <v>45946</v>
      </c>
      <c r="C497" t="s">
        <v>9</v>
      </c>
      <c r="D497" t="s">
        <v>30</v>
      </c>
      <c r="E497" t="s">
        <v>26</v>
      </c>
      <c r="F497" s="1">
        <v>8</v>
      </c>
      <c r="G497" s="1">
        <v>2823.29</v>
      </c>
      <c r="H497" s="1">
        <v>863.96</v>
      </c>
    </row>
    <row r="498" spans="1:8" x14ac:dyDescent="0.25">
      <c r="A498" t="s">
        <v>524</v>
      </c>
      <c r="B498" s="2">
        <v>45935</v>
      </c>
      <c r="C498" t="s">
        <v>35</v>
      </c>
      <c r="D498" t="s">
        <v>16</v>
      </c>
      <c r="E498" t="s">
        <v>17</v>
      </c>
      <c r="F498" s="1">
        <v>2</v>
      </c>
      <c r="G498" s="1">
        <v>297.13</v>
      </c>
      <c r="H498" s="1">
        <v>51.35</v>
      </c>
    </row>
    <row r="499" spans="1:8" x14ac:dyDescent="0.25">
      <c r="A499" t="s">
        <v>525</v>
      </c>
      <c r="B499" s="2">
        <v>45872</v>
      </c>
      <c r="C499" t="s">
        <v>35</v>
      </c>
      <c r="D499" t="s">
        <v>16</v>
      </c>
      <c r="E499" t="s">
        <v>17</v>
      </c>
      <c r="F499" s="1">
        <v>1</v>
      </c>
      <c r="G499" s="1">
        <v>1016.92</v>
      </c>
      <c r="H499" s="1">
        <v>306.06</v>
      </c>
    </row>
    <row r="500" spans="1:8" x14ac:dyDescent="0.25">
      <c r="A500" t="s">
        <v>526</v>
      </c>
      <c r="B500" s="2">
        <v>45675</v>
      </c>
      <c r="C500" t="s">
        <v>28</v>
      </c>
      <c r="D500" t="s">
        <v>55</v>
      </c>
      <c r="E500" t="s">
        <v>17</v>
      </c>
      <c r="F500" s="1">
        <v>5</v>
      </c>
      <c r="G500" s="1">
        <v>703.99</v>
      </c>
      <c r="H500" s="1">
        <v>227.92</v>
      </c>
    </row>
    <row r="501" spans="1:8" x14ac:dyDescent="0.25">
      <c r="A501" t="s">
        <v>527</v>
      </c>
      <c r="B501" s="2">
        <v>45766</v>
      </c>
      <c r="C501" t="s">
        <v>28</v>
      </c>
      <c r="D501" t="s">
        <v>20</v>
      </c>
      <c r="E501" t="s">
        <v>11</v>
      </c>
      <c r="F501" s="1">
        <v>3</v>
      </c>
      <c r="G501" s="1">
        <v>3424.26</v>
      </c>
      <c r="H501" s="1">
        <v>428.49</v>
      </c>
    </row>
    <row r="502" spans="1:8" x14ac:dyDescent="0.25">
      <c r="A502" t="s">
        <v>528</v>
      </c>
      <c r="B502" s="2">
        <v>45761</v>
      </c>
      <c r="C502" t="s">
        <v>28</v>
      </c>
      <c r="D502" t="s">
        <v>48</v>
      </c>
      <c r="E502" t="s">
        <v>17</v>
      </c>
      <c r="F502" s="1">
        <v>7</v>
      </c>
      <c r="G502" s="1">
        <v>980.87</v>
      </c>
      <c r="H502" s="1">
        <v>259.39</v>
      </c>
    </row>
    <row r="503" spans="1:8" x14ac:dyDescent="0.25">
      <c r="A503" t="s">
        <v>529</v>
      </c>
      <c r="B503" s="2">
        <v>45940</v>
      </c>
      <c r="C503" t="s">
        <v>22</v>
      </c>
      <c r="D503" t="s">
        <v>30</v>
      </c>
      <c r="E503" t="s">
        <v>26</v>
      </c>
      <c r="F503" s="1">
        <v>2</v>
      </c>
      <c r="G503" s="1">
        <v>300.16000000000003</v>
      </c>
      <c r="H503" s="1">
        <v>69.099999999999994</v>
      </c>
    </row>
    <row r="504" spans="1:8" x14ac:dyDescent="0.25">
      <c r="A504" t="s">
        <v>530</v>
      </c>
      <c r="B504" s="2">
        <v>46016</v>
      </c>
      <c r="C504" t="s">
        <v>35</v>
      </c>
      <c r="D504" t="s">
        <v>25</v>
      </c>
      <c r="E504" t="s">
        <v>26</v>
      </c>
      <c r="F504" s="1">
        <v>8</v>
      </c>
      <c r="G504" s="1">
        <v>8837.89</v>
      </c>
      <c r="H504" s="1">
        <v>736.53</v>
      </c>
    </row>
    <row r="505" spans="1:8" x14ac:dyDescent="0.25">
      <c r="A505" t="s">
        <v>531</v>
      </c>
      <c r="B505" s="2">
        <v>45709</v>
      </c>
      <c r="C505" t="s">
        <v>9</v>
      </c>
      <c r="D505" t="s">
        <v>20</v>
      </c>
      <c r="E505" t="s">
        <v>11</v>
      </c>
      <c r="F505" s="1">
        <v>3</v>
      </c>
      <c r="G505" s="1">
        <v>661.29</v>
      </c>
      <c r="H505" s="1">
        <v>157.88</v>
      </c>
    </row>
    <row r="506" spans="1:8" x14ac:dyDescent="0.25">
      <c r="A506" t="s">
        <v>532</v>
      </c>
      <c r="B506" s="2">
        <v>45793</v>
      </c>
      <c r="C506" t="s">
        <v>35</v>
      </c>
      <c r="D506" t="s">
        <v>20</v>
      </c>
      <c r="E506" t="s">
        <v>11</v>
      </c>
      <c r="F506" s="1">
        <v>9</v>
      </c>
      <c r="G506" s="1">
        <v>9559.41</v>
      </c>
      <c r="H506" s="1">
        <v>3030.63</v>
      </c>
    </row>
    <row r="507" spans="1:8" x14ac:dyDescent="0.25">
      <c r="A507" t="s">
        <v>533</v>
      </c>
      <c r="B507" s="2">
        <v>45864</v>
      </c>
      <c r="C507" t="s">
        <v>28</v>
      </c>
      <c r="D507" t="s">
        <v>23</v>
      </c>
      <c r="E507" t="s">
        <v>14</v>
      </c>
      <c r="F507" s="1">
        <v>10</v>
      </c>
      <c r="G507" s="1">
        <v>5940.04</v>
      </c>
      <c r="H507" s="1">
        <v>751.38</v>
      </c>
    </row>
    <row r="508" spans="1:8" x14ac:dyDescent="0.25">
      <c r="A508" t="s">
        <v>534</v>
      </c>
      <c r="B508" s="2">
        <v>45779</v>
      </c>
      <c r="C508" t="s">
        <v>9</v>
      </c>
      <c r="D508" t="s">
        <v>13</v>
      </c>
      <c r="E508" t="s">
        <v>14</v>
      </c>
      <c r="F508" s="1">
        <v>7</v>
      </c>
      <c r="G508" s="1">
        <v>7511.07</v>
      </c>
      <c r="H508" s="1">
        <v>1273.1500000000001</v>
      </c>
    </row>
    <row r="509" spans="1:8" x14ac:dyDescent="0.25">
      <c r="A509" t="s">
        <v>535</v>
      </c>
      <c r="B509" s="2">
        <v>45813</v>
      </c>
      <c r="C509" t="s">
        <v>22</v>
      </c>
      <c r="D509" t="s">
        <v>57</v>
      </c>
      <c r="E509" t="s">
        <v>14</v>
      </c>
      <c r="F509" s="1">
        <v>6</v>
      </c>
      <c r="G509" s="1">
        <v>439.61</v>
      </c>
      <c r="H509" s="1">
        <v>132.19</v>
      </c>
    </row>
    <row r="510" spans="1:8" x14ac:dyDescent="0.25">
      <c r="A510" t="s">
        <v>536</v>
      </c>
      <c r="B510" s="2">
        <v>45811</v>
      </c>
      <c r="C510" t="s">
        <v>35</v>
      </c>
      <c r="D510" t="s">
        <v>30</v>
      </c>
      <c r="E510" t="s">
        <v>26</v>
      </c>
      <c r="F510" s="1">
        <v>2</v>
      </c>
      <c r="G510" s="1">
        <v>2336.7399999999998</v>
      </c>
      <c r="H510" s="1">
        <v>330.76</v>
      </c>
    </row>
    <row r="511" spans="1:8" x14ac:dyDescent="0.25">
      <c r="A511" t="s">
        <v>537</v>
      </c>
      <c r="B511" s="2">
        <v>45884</v>
      </c>
      <c r="C511" t="s">
        <v>28</v>
      </c>
      <c r="D511" t="s">
        <v>30</v>
      </c>
      <c r="E511" t="s">
        <v>26</v>
      </c>
      <c r="F511" s="1">
        <v>7</v>
      </c>
      <c r="G511" s="1">
        <v>5220.08</v>
      </c>
      <c r="H511" s="1">
        <v>543.45000000000005</v>
      </c>
    </row>
    <row r="512" spans="1:8" x14ac:dyDescent="0.25">
      <c r="A512" t="s">
        <v>538</v>
      </c>
      <c r="B512" s="2">
        <v>45686</v>
      </c>
      <c r="C512" t="s">
        <v>28</v>
      </c>
      <c r="D512" t="s">
        <v>23</v>
      </c>
      <c r="E512" t="s">
        <v>14</v>
      </c>
      <c r="F512" s="1">
        <v>8</v>
      </c>
      <c r="G512" s="1">
        <v>7387.34</v>
      </c>
      <c r="H512" s="1">
        <v>2320.67</v>
      </c>
    </row>
    <row r="513" spans="1:8" x14ac:dyDescent="0.25">
      <c r="A513" t="s">
        <v>539</v>
      </c>
      <c r="B513" s="2">
        <v>45926</v>
      </c>
      <c r="C513" t="s">
        <v>9</v>
      </c>
      <c r="D513" t="s">
        <v>20</v>
      </c>
      <c r="E513" t="s">
        <v>11</v>
      </c>
      <c r="F513" s="1">
        <v>9</v>
      </c>
      <c r="G513" s="1">
        <v>4625.04</v>
      </c>
      <c r="H513" s="1">
        <v>1344.68</v>
      </c>
    </row>
    <row r="514" spans="1:8" x14ac:dyDescent="0.25">
      <c r="A514" t="s">
        <v>540</v>
      </c>
      <c r="B514" s="2">
        <v>45891</v>
      </c>
      <c r="C514" t="s">
        <v>9</v>
      </c>
      <c r="D514" t="s">
        <v>48</v>
      </c>
      <c r="E514" t="s">
        <v>17</v>
      </c>
      <c r="F514" s="1">
        <v>4</v>
      </c>
      <c r="G514" s="1">
        <v>4050.09</v>
      </c>
      <c r="H514" s="1">
        <v>596.83000000000004</v>
      </c>
    </row>
    <row r="515" spans="1:8" x14ac:dyDescent="0.25">
      <c r="A515" t="s">
        <v>541</v>
      </c>
      <c r="B515" s="2">
        <v>45916</v>
      </c>
      <c r="C515" t="s">
        <v>35</v>
      </c>
      <c r="D515" t="s">
        <v>25</v>
      </c>
      <c r="E515" t="s">
        <v>26</v>
      </c>
      <c r="F515" s="1">
        <v>4</v>
      </c>
      <c r="G515" s="1">
        <v>1460.3</v>
      </c>
      <c r="H515" s="1">
        <v>441.52</v>
      </c>
    </row>
    <row r="516" spans="1:8" x14ac:dyDescent="0.25">
      <c r="A516" t="s">
        <v>542</v>
      </c>
      <c r="B516" s="2">
        <v>45886</v>
      </c>
      <c r="C516" t="s">
        <v>28</v>
      </c>
      <c r="D516" t="s">
        <v>41</v>
      </c>
      <c r="E516" t="s">
        <v>11</v>
      </c>
      <c r="F516" s="1">
        <v>1</v>
      </c>
      <c r="G516" s="1">
        <v>328.23</v>
      </c>
      <c r="H516" s="1">
        <v>69.58</v>
      </c>
    </row>
    <row r="517" spans="1:8" x14ac:dyDescent="0.25">
      <c r="A517" t="s">
        <v>543</v>
      </c>
      <c r="B517" s="2">
        <v>45790</v>
      </c>
      <c r="C517" t="s">
        <v>9</v>
      </c>
      <c r="D517" t="s">
        <v>23</v>
      </c>
      <c r="E517" t="s">
        <v>14</v>
      </c>
      <c r="F517" s="1">
        <v>9</v>
      </c>
      <c r="G517" s="1">
        <v>4070.01</v>
      </c>
      <c r="H517" s="1">
        <v>505.29</v>
      </c>
    </row>
    <row r="518" spans="1:8" x14ac:dyDescent="0.25">
      <c r="A518" t="s">
        <v>544</v>
      </c>
      <c r="B518" s="2">
        <v>45767</v>
      </c>
      <c r="C518" t="s">
        <v>28</v>
      </c>
      <c r="D518" t="s">
        <v>33</v>
      </c>
      <c r="E518" t="s">
        <v>26</v>
      </c>
      <c r="F518" s="1">
        <v>7</v>
      </c>
      <c r="G518" s="1">
        <v>749.69</v>
      </c>
      <c r="H518" s="1">
        <v>232.8</v>
      </c>
    </row>
    <row r="519" spans="1:8" x14ac:dyDescent="0.25">
      <c r="A519" t="s">
        <v>545</v>
      </c>
      <c r="B519" s="2">
        <v>45668</v>
      </c>
      <c r="C519" t="s">
        <v>9</v>
      </c>
      <c r="D519" t="s">
        <v>16</v>
      </c>
      <c r="E519" t="s">
        <v>17</v>
      </c>
      <c r="F519" s="1">
        <v>4</v>
      </c>
      <c r="G519" s="1">
        <v>1437.78</v>
      </c>
      <c r="H519" s="1">
        <v>273.99</v>
      </c>
    </row>
    <row r="520" spans="1:8" x14ac:dyDescent="0.25">
      <c r="A520" t="s">
        <v>546</v>
      </c>
      <c r="B520" s="2">
        <v>45787</v>
      </c>
      <c r="C520" t="s">
        <v>22</v>
      </c>
      <c r="D520" t="s">
        <v>13</v>
      </c>
      <c r="E520" t="s">
        <v>14</v>
      </c>
      <c r="F520" s="1">
        <v>3</v>
      </c>
      <c r="G520" s="1">
        <v>2223.94</v>
      </c>
      <c r="H520" s="1">
        <v>183</v>
      </c>
    </row>
    <row r="521" spans="1:8" x14ac:dyDescent="0.25">
      <c r="A521" t="s">
        <v>547</v>
      </c>
      <c r="B521" s="2">
        <v>45769</v>
      </c>
      <c r="C521" t="s">
        <v>35</v>
      </c>
      <c r="D521" t="s">
        <v>30</v>
      </c>
      <c r="E521" t="s">
        <v>26</v>
      </c>
      <c r="F521" s="1">
        <v>7</v>
      </c>
      <c r="G521" s="1">
        <v>7205.27</v>
      </c>
      <c r="H521" s="1">
        <v>1469.37</v>
      </c>
    </row>
    <row r="522" spans="1:8" x14ac:dyDescent="0.25">
      <c r="A522" t="s">
        <v>548</v>
      </c>
      <c r="B522" s="2">
        <v>45710</v>
      </c>
      <c r="C522" t="s">
        <v>9</v>
      </c>
      <c r="D522" t="s">
        <v>25</v>
      </c>
      <c r="E522" t="s">
        <v>26</v>
      </c>
      <c r="F522" s="1">
        <v>9</v>
      </c>
      <c r="G522" s="1">
        <v>8981.6200000000008</v>
      </c>
      <c r="H522" s="1">
        <v>1681.64</v>
      </c>
    </row>
    <row r="523" spans="1:8" x14ac:dyDescent="0.25">
      <c r="A523" t="s">
        <v>549</v>
      </c>
      <c r="B523" s="2">
        <v>45713</v>
      </c>
      <c r="C523" t="s">
        <v>35</v>
      </c>
      <c r="D523" t="s">
        <v>25</v>
      </c>
      <c r="E523" t="s">
        <v>26</v>
      </c>
      <c r="F523" s="1">
        <v>10</v>
      </c>
      <c r="G523" s="1">
        <v>7504.08</v>
      </c>
      <c r="H523" s="1">
        <v>1205.07</v>
      </c>
    </row>
    <row r="524" spans="1:8" x14ac:dyDescent="0.25">
      <c r="A524" t="s">
        <v>550</v>
      </c>
      <c r="B524" s="2">
        <v>45791</v>
      </c>
      <c r="C524" t="s">
        <v>22</v>
      </c>
      <c r="D524" t="s">
        <v>20</v>
      </c>
      <c r="E524" t="s">
        <v>11</v>
      </c>
      <c r="F524" s="1">
        <v>5</v>
      </c>
      <c r="G524" s="1">
        <v>3933.42</v>
      </c>
      <c r="H524" s="1">
        <v>1229.5999999999999</v>
      </c>
    </row>
    <row r="525" spans="1:8" x14ac:dyDescent="0.25">
      <c r="A525" t="s">
        <v>551</v>
      </c>
      <c r="B525" s="2">
        <v>45965</v>
      </c>
      <c r="C525" t="s">
        <v>35</v>
      </c>
      <c r="D525" t="s">
        <v>48</v>
      </c>
      <c r="E525" t="s">
        <v>17</v>
      </c>
      <c r="F525" s="1">
        <v>9</v>
      </c>
      <c r="G525" s="1">
        <v>8372.66</v>
      </c>
      <c r="H525" s="1">
        <v>2703.66</v>
      </c>
    </row>
    <row r="526" spans="1:8" x14ac:dyDescent="0.25">
      <c r="A526" t="s">
        <v>552</v>
      </c>
      <c r="B526" s="2">
        <v>45809</v>
      </c>
      <c r="C526" t="s">
        <v>22</v>
      </c>
      <c r="D526" t="s">
        <v>25</v>
      </c>
      <c r="E526" t="s">
        <v>26</v>
      </c>
      <c r="F526" s="1">
        <v>3</v>
      </c>
      <c r="G526" s="1">
        <v>2638.43</v>
      </c>
      <c r="H526" s="1">
        <v>677.97</v>
      </c>
    </row>
    <row r="527" spans="1:8" x14ac:dyDescent="0.25">
      <c r="A527" t="s">
        <v>553</v>
      </c>
      <c r="B527" s="2">
        <v>45950</v>
      </c>
      <c r="C527" t="s">
        <v>28</v>
      </c>
      <c r="D527" t="s">
        <v>57</v>
      </c>
      <c r="E527" t="s">
        <v>14</v>
      </c>
      <c r="F527" s="1">
        <v>7</v>
      </c>
      <c r="G527" s="1">
        <v>6280.69</v>
      </c>
      <c r="H527" s="1">
        <v>1491.14</v>
      </c>
    </row>
    <row r="528" spans="1:8" x14ac:dyDescent="0.25">
      <c r="A528" t="s">
        <v>554</v>
      </c>
      <c r="B528" s="2">
        <v>45901</v>
      </c>
      <c r="C528" t="s">
        <v>22</v>
      </c>
      <c r="D528" t="s">
        <v>25</v>
      </c>
      <c r="E528" t="s">
        <v>26</v>
      </c>
      <c r="F528" s="1">
        <v>4</v>
      </c>
      <c r="G528" s="1">
        <v>3357.06</v>
      </c>
      <c r="H528" s="1">
        <v>847.14</v>
      </c>
    </row>
    <row r="529" spans="1:8" x14ac:dyDescent="0.25">
      <c r="A529" t="s">
        <v>555</v>
      </c>
      <c r="B529" s="2">
        <v>45723</v>
      </c>
      <c r="C529" t="s">
        <v>22</v>
      </c>
      <c r="D529" t="s">
        <v>33</v>
      </c>
      <c r="E529" t="s">
        <v>26</v>
      </c>
      <c r="F529" s="1">
        <v>9</v>
      </c>
      <c r="G529" s="1">
        <v>2324.7600000000002</v>
      </c>
      <c r="H529" s="1">
        <v>247.24</v>
      </c>
    </row>
    <row r="530" spans="1:8" x14ac:dyDescent="0.25">
      <c r="A530" t="s">
        <v>556</v>
      </c>
      <c r="B530" s="2">
        <v>45772</v>
      </c>
      <c r="C530" t="s">
        <v>22</v>
      </c>
      <c r="D530" t="s">
        <v>16</v>
      </c>
      <c r="E530" t="s">
        <v>17</v>
      </c>
      <c r="F530" s="1">
        <v>6</v>
      </c>
      <c r="G530" s="1">
        <v>4815.6000000000004</v>
      </c>
      <c r="H530" s="1">
        <v>674.22</v>
      </c>
    </row>
    <row r="531" spans="1:8" x14ac:dyDescent="0.25">
      <c r="A531" t="s">
        <v>557</v>
      </c>
      <c r="B531" s="2">
        <v>45718</v>
      </c>
      <c r="C531" t="s">
        <v>35</v>
      </c>
      <c r="D531" t="s">
        <v>57</v>
      </c>
      <c r="E531" t="s">
        <v>14</v>
      </c>
      <c r="F531" s="1">
        <v>6</v>
      </c>
      <c r="G531" s="1">
        <v>2097.86</v>
      </c>
      <c r="H531" s="1">
        <v>334.39</v>
      </c>
    </row>
    <row r="532" spans="1:8" x14ac:dyDescent="0.25">
      <c r="A532" t="s">
        <v>558</v>
      </c>
      <c r="B532" s="2">
        <v>45899</v>
      </c>
      <c r="C532" t="s">
        <v>28</v>
      </c>
      <c r="D532" t="s">
        <v>41</v>
      </c>
      <c r="E532" t="s">
        <v>11</v>
      </c>
      <c r="F532" s="1">
        <v>10</v>
      </c>
      <c r="G532" s="1">
        <v>7173.6</v>
      </c>
      <c r="H532" s="1">
        <v>1776.02</v>
      </c>
    </row>
    <row r="533" spans="1:8" x14ac:dyDescent="0.25">
      <c r="A533" t="s">
        <v>559</v>
      </c>
      <c r="B533" s="2">
        <v>45735</v>
      </c>
      <c r="C533" t="s">
        <v>28</v>
      </c>
      <c r="D533" t="s">
        <v>41</v>
      </c>
      <c r="E533" t="s">
        <v>11</v>
      </c>
      <c r="F533" s="1">
        <v>7</v>
      </c>
      <c r="G533" s="1">
        <v>4615.2</v>
      </c>
      <c r="H533" s="1">
        <v>883.99</v>
      </c>
    </row>
    <row r="534" spans="1:8" x14ac:dyDescent="0.25">
      <c r="A534" t="s">
        <v>560</v>
      </c>
      <c r="B534" s="2">
        <v>45892</v>
      </c>
      <c r="C534" t="s">
        <v>28</v>
      </c>
      <c r="D534" t="s">
        <v>55</v>
      </c>
      <c r="E534" t="s">
        <v>17</v>
      </c>
      <c r="F534" s="1">
        <v>7</v>
      </c>
      <c r="G534" s="1">
        <v>8296.89</v>
      </c>
      <c r="H534" s="1">
        <v>2663.87</v>
      </c>
    </row>
    <row r="535" spans="1:8" x14ac:dyDescent="0.25">
      <c r="A535" t="s">
        <v>561</v>
      </c>
      <c r="B535" s="2">
        <v>45981</v>
      </c>
      <c r="C535" t="s">
        <v>28</v>
      </c>
      <c r="D535" t="s">
        <v>25</v>
      </c>
      <c r="E535" t="s">
        <v>26</v>
      </c>
      <c r="F535" s="1">
        <v>3</v>
      </c>
      <c r="G535" s="1">
        <v>2837.35</v>
      </c>
      <c r="H535" s="1">
        <v>600.52</v>
      </c>
    </row>
    <row r="536" spans="1:8" x14ac:dyDescent="0.25">
      <c r="A536" t="s">
        <v>562</v>
      </c>
      <c r="B536" s="2">
        <v>45744</v>
      </c>
      <c r="C536" t="s">
        <v>28</v>
      </c>
      <c r="D536" t="s">
        <v>25</v>
      </c>
      <c r="E536" t="s">
        <v>26</v>
      </c>
      <c r="F536" s="1">
        <v>1</v>
      </c>
      <c r="G536" s="1">
        <v>55.42</v>
      </c>
      <c r="H536" s="1">
        <v>8.5299999999999994</v>
      </c>
    </row>
    <row r="537" spans="1:8" x14ac:dyDescent="0.25">
      <c r="A537" t="s">
        <v>563</v>
      </c>
      <c r="B537" s="2">
        <v>45864</v>
      </c>
      <c r="C537" t="s">
        <v>35</v>
      </c>
      <c r="D537" t="s">
        <v>13</v>
      </c>
      <c r="E537" t="s">
        <v>14</v>
      </c>
      <c r="F537" s="1">
        <v>3</v>
      </c>
      <c r="G537" s="1">
        <v>2269.96</v>
      </c>
      <c r="H537" s="1">
        <v>569.85</v>
      </c>
    </row>
    <row r="538" spans="1:8" x14ac:dyDescent="0.25">
      <c r="A538" t="s">
        <v>564</v>
      </c>
      <c r="B538" s="2">
        <v>45849</v>
      </c>
      <c r="C538" t="s">
        <v>9</v>
      </c>
      <c r="D538" t="s">
        <v>57</v>
      </c>
      <c r="E538" t="s">
        <v>14</v>
      </c>
      <c r="F538" s="1">
        <v>1</v>
      </c>
      <c r="G538" s="1">
        <v>93.38</v>
      </c>
      <c r="H538" s="1">
        <v>12.5</v>
      </c>
    </row>
    <row r="539" spans="1:8" x14ac:dyDescent="0.25">
      <c r="A539" t="s">
        <v>565</v>
      </c>
      <c r="B539" s="2">
        <v>45785</v>
      </c>
      <c r="C539" t="s">
        <v>28</v>
      </c>
      <c r="D539" t="s">
        <v>25</v>
      </c>
      <c r="E539" t="s">
        <v>26</v>
      </c>
      <c r="F539" s="1">
        <v>4</v>
      </c>
      <c r="G539" s="1">
        <v>282.41000000000003</v>
      </c>
      <c r="H539" s="1">
        <v>22.91</v>
      </c>
    </row>
    <row r="540" spans="1:8" x14ac:dyDescent="0.25">
      <c r="A540" t="s">
        <v>566</v>
      </c>
      <c r="B540" s="2">
        <v>45814</v>
      </c>
      <c r="C540" t="s">
        <v>28</v>
      </c>
      <c r="D540" t="s">
        <v>30</v>
      </c>
      <c r="E540" t="s">
        <v>26</v>
      </c>
      <c r="F540" s="1">
        <v>3</v>
      </c>
      <c r="G540" s="1">
        <v>504.34</v>
      </c>
      <c r="H540" s="1">
        <v>108.89</v>
      </c>
    </row>
    <row r="541" spans="1:8" x14ac:dyDescent="0.25">
      <c r="A541" t="s">
        <v>567</v>
      </c>
      <c r="B541" s="2">
        <v>45924</v>
      </c>
      <c r="C541" t="s">
        <v>22</v>
      </c>
      <c r="D541" t="s">
        <v>10</v>
      </c>
      <c r="E541" t="s">
        <v>11</v>
      </c>
      <c r="F541" s="1">
        <v>5</v>
      </c>
      <c r="G541" s="1">
        <v>5703.66</v>
      </c>
      <c r="H541" s="1">
        <v>1158.4100000000001</v>
      </c>
    </row>
    <row r="542" spans="1:8" x14ac:dyDescent="0.25">
      <c r="A542" t="s">
        <v>568</v>
      </c>
      <c r="B542" s="2">
        <v>45841</v>
      </c>
      <c r="C542" t="s">
        <v>28</v>
      </c>
      <c r="D542" t="s">
        <v>23</v>
      </c>
      <c r="E542" t="s">
        <v>14</v>
      </c>
      <c r="F542" s="1">
        <v>3</v>
      </c>
      <c r="G542" s="1">
        <v>1332.43</v>
      </c>
      <c r="H542" s="1">
        <v>430.87</v>
      </c>
    </row>
    <row r="543" spans="1:8" x14ac:dyDescent="0.25">
      <c r="A543" t="s">
        <v>569</v>
      </c>
      <c r="B543" s="2">
        <v>45725</v>
      </c>
      <c r="C543" t="s">
        <v>28</v>
      </c>
      <c r="D543" t="s">
        <v>55</v>
      </c>
      <c r="E543" t="s">
        <v>17</v>
      </c>
      <c r="F543" s="1">
        <v>1</v>
      </c>
      <c r="G543" s="1">
        <v>312.68</v>
      </c>
      <c r="H543" s="1">
        <v>86.4</v>
      </c>
    </row>
    <row r="544" spans="1:8" x14ac:dyDescent="0.25">
      <c r="A544" t="s">
        <v>570</v>
      </c>
      <c r="B544" s="2">
        <v>45991</v>
      </c>
      <c r="C544" t="s">
        <v>9</v>
      </c>
      <c r="D544" t="s">
        <v>41</v>
      </c>
      <c r="E544" t="s">
        <v>11</v>
      </c>
      <c r="F544" s="1">
        <v>9</v>
      </c>
      <c r="G544" s="1">
        <v>2198.9899999999998</v>
      </c>
      <c r="H544" s="1">
        <v>393.57</v>
      </c>
    </row>
    <row r="545" spans="1:8" x14ac:dyDescent="0.25">
      <c r="A545" t="s">
        <v>571</v>
      </c>
      <c r="B545" s="2">
        <v>45962</v>
      </c>
      <c r="C545" t="s">
        <v>9</v>
      </c>
      <c r="D545" t="s">
        <v>23</v>
      </c>
      <c r="E545" t="s">
        <v>14</v>
      </c>
      <c r="F545" s="1">
        <v>5</v>
      </c>
      <c r="G545" s="1">
        <v>4684.6899999999996</v>
      </c>
      <c r="H545" s="1">
        <v>1162.96</v>
      </c>
    </row>
    <row r="546" spans="1:8" x14ac:dyDescent="0.25">
      <c r="A546" t="s">
        <v>572</v>
      </c>
      <c r="B546" s="2">
        <v>45885</v>
      </c>
      <c r="C546" t="s">
        <v>35</v>
      </c>
      <c r="D546" t="s">
        <v>41</v>
      </c>
      <c r="E546" t="s">
        <v>11</v>
      </c>
      <c r="F546" s="1">
        <v>1</v>
      </c>
      <c r="G546" s="1">
        <v>105.47</v>
      </c>
      <c r="H546" s="1">
        <v>11.73</v>
      </c>
    </row>
    <row r="547" spans="1:8" x14ac:dyDescent="0.25">
      <c r="A547" t="s">
        <v>573</v>
      </c>
      <c r="B547" s="2">
        <v>46013</v>
      </c>
      <c r="C547" t="s">
        <v>9</v>
      </c>
      <c r="D547" t="s">
        <v>41</v>
      </c>
      <c r="E547" t="s">
        <v>11</v>
      </c>
      <c r="F547" s="1">
        <v>5</v>
      </c>
      <c r="G547" s="1">
        <v>2977.78</v>
      </c>
      <c r="H547" s="1">
        <v>361.34</v>
      </c>
    </row>
    <row r="548" spans="1:8" x14ac:dyDescent="0.25">
      <c r="A548" t="s">
        <v>574</v>
      </c>
      <c r="B548" s="2">
        <v>45968</v>
      </c>
      <c r="C548" t="s">
        <v>28</v>
      </c>
      <c r="D548" t="s">
        <v>30</v>
      </c>
      <c r="E548" t="s">
        <v>26</v>
      </c>
      <c r="F548" s="1">
        <v>2</v>
      </c>
      <c r="G548" s="1">
        <v>1623.71</v>
      </c>
      <c r="H548" s="1">
        <v>248.26</v>
      </c>
    </row>
    <row r="549" spans="1:8" x14ac:dyDescent="0.25">
      <c r="A549" t="s">
        <v>575</v>
      </c>
      <c r="B549" s="2">
        <v>45716</v>
      </c>
      <c r="C549" t="s">
        <v>9</v>
      </c>
      <c r="D549" t="s">
        <v>13</v>
      </c>
      <c r="E549" t="s">
        <v>14</v>
      </c>
      <c r="F549" s="1">
        <v>9</v>
      </c>
      <c r="G549" s="1">
        <v>7889.23</v>
      </c>
      <c r="H549" s="1">
        <v>881.92</v>
      </c>
    </row>
    <row r="550" spans="1:8" x14ac:dyDescent="0.25">
      <c r="A550" t="s">
        <v>576</v>
      </c>
      <c r="B550" s="2">
        <v>45925</v>
      </c>
      <c r="C550" t="s">
        <v>28</v>
      </c>
      <c r="D550" t="s">
        <v>13</v>
      </c>
      <c r="E550" t="s">
        <v>14</v>
      </c>
      <c r="F550" s="1">
        <v>10</v>
      </c>
      <c r="G550" s="1">
        <v>2797.12</v>
      </c>
      <c r="H550" s="1">
        <v>422.39</v>
      </c>
    </row>
    <row r="551" spans="1:8" x14ac:dyDescent="0.25">
      <c r="A551" t="s">
        <v>577</v>
      </c>
      <c r="B551" s="2">
        <v>45912</v>
      </c>
      <c r="C551" t="s">
        <v>28</v>
      </c>
      <c r="D551" t="s">
        <v>25</v>
      </c>
      <c r="E551" t="s">
        <v>26</v>
      </c>
      <c r="F551" s="1">
        <v>7</v>
      </c>
      <c r="G551" s="1">
        <v>2727.58</v>
      </c>
      <c r="H551" s="1">
        <v>247.23</v>
      </c>
    </row>
    <row r="552" spans="1:8" x14ac:dyDescent="0.25">
      <c r="A552" t="s">
        <v>578</v>
      </c>
      <c r="B552" s="2">
        <v>45714</v>
      </c>
      <c r="C552" t="s">
        <v>35</v>
      </c>
      <c r="D552" t="s">
        <v>57</v>
      </c>
      <c r="E552" t="s">
        <v>14</v>
      </c>
      <c r="F552" s="1">
        <v>4</v>
      </c>
      <c r="G552" s="1">
        <v>212.59</v>
      </c>
      <c r="H552" s="1">
        <v>55.56</v>
      </c>
    </row>
    <row r="553" spans="1:8" x14ac:dyDescent="0.25">
      <c r="A553" t="s">
        <v>579</v>
      </c>
      <c r="B553" s="2">
        <v>45789</v>
      </c>
      <c r="C553" t="s">
        <v>28</v>
      </c>
      <c r="D553" t="s">
        <v>48</v>
      </c>
      <c r="E553" t="s">
        <v>17</v>
      </c>
      <c r="F553" s="1">
        <v>9</v>
      </c>
      <c r="G553" s="1">
        <v>1226.75</v>
      </c>
      <c r="H553" s="1">
        <v>337.8</v>
      </c>
    </row>
    <row r="554" spans="1:8" x14ac:dyDescent="0.25">
      <c r="A554" t="s">
        <v>580</v>
      </c>
      <c r="B554" s="2">
        <v>45747</v>
      </c>
      <c r="C554" t="s">
        <v>9</v>
      </c>
      <c r="D554" t="s">
        <v>57</v>
      </c>
      <c r="E554" t="s">
        <v>14</v>
      </c>
      <c r="F554" s="1">
        <v>5</v>
      </c>
      <c r="G554" s="1">
        <v>2919.59</v>
      </c>
      <c r="H554" s="1">
        <v>312.25</v>
      </c>
    </row>
    <row r="555" spans="1:8" x14ac:dyDescent="0.25">
      <c r="A555" t="s">
        <v>581</v>
      </c>
      <c r="B555" s="2">
        <v>45681</v>
      </c>
      <c r="C555" t="s">
        <v>9</v>
      </c>
      <c r="D555" t="s">
        <v>30</v>
      </c>
      <c r="E555" t="s">
        <v>26</v>
      </c>
      <c r="F555" s="1">
        <v>6</v>
      </c>
      <c r="G555" s="1">
        <v>3239.37</v>
      </c>
      <c r="H555" s="1">
        <v>360.52</v>
      </c>
    </row>
    <row r="556" spans="1:8" x14ac:dyDescent="0.25">
      <c r="A556" t="s">
        <v>582</v>
      </c>
      <c r="B556" s="2">
        <v>45976</v>
      </c>
      <c r="C556" t="s">
        <v>22</v>
      </c>
      <c r="D556" t="s">
        <v>16</v>
      </c>
      <c r="E556" t="s">
        <v>17</v>
      </c>
      <c r="F556" s="1">
        <v>3</v>
      </c>
      <c r="G556" s="1">
        <v>1283.8800000000001</v>
      </c>
      <c r="H556" s="1">
        <v>412.8</v>
      </c>
    </row>
    <row r="557" spans="1:8" x14ac:dyDescent="0.25">
      <c r="A557" t="s">
        <v>583</v>
      </c>
      <c r="B557" s="2">
        <v>45891</v>
      </c>
      <c r="C557" t="s">
        <v>22</v>
      </c>
      <c r="D557" t="s">
        <v>20</v>
      </c>
      <c r="E557" t="s">
        <v>11</v>
      </c>
      <c r="F557" s="1">
        <v>6</v>
      </c>
      <c r="G557" s="1">
        <v>1561.8</v>
      </c>
      <c r="H557" s="1">
        <v>293.95</v>
      </c>
    </row>
    <row r="558" spans="1:8" x14ac:dyDescent="0.25">
      <c r="A558" t="s">
        <v>584</v>
      </c>
      <c r="B558" s="2">
        <v>45743</v>
      </c>
      <c r="C558" t="s">
        <v>9</v>
      </c>
      <c r="D558" t="s">
        <v>23</v>
      </c>
      <c r="E558" t="s">
        <v>14</v>
      </c>
      <c r="F558" s="1">
        <v>8</v>
      </c>
      <c r="G558" s="1">
        <v>7759.07</v>
      </c>
      <c r="H558" s="1">
        <v>1980.03</v>
      </c>
    </row>
    <row r="559" spans="1:8" x14ac:dyDescent="0.25">
      <c r="A559" t="s">
        <v>585</v>
      </c>
      <c r="B559" s="2">
        <v>45711</v>
      </c>
      <c r="C559" t="s">
        <v>35</v>
      </c>
      <c r="D559" t="s">
        <v>16</v>
      </c>
      <c r="E559" t="s">
        <v>17</v>
      </c>
      <c r="F559" s="1">
        <v>1</v>
      </c>
      <c r="G559" s="1">
        <v>1178.8</v>
      </c>
      <c r="H559" s="1">
        <v>363.04</v>
      </c>
    </row>
    <row r="560" spans="1:8" x14ac:dyDescent="0.25">
      <c r="A560" t="s">
        <v>586</v>
      </c>
      <c r="B560" s="2">
        <v>45841</v>
      </c>
      <c r="C560" t="s">
        <v>9</v>
      </c>
      <c r="D560" t="s">
        <v>23</v>
      </c>
      <c r="E560" t="s">
        <v>14</v>
      </c>
      <c r="F560" s="1">
        <v>8</v>
      </c>
      <c r="G560" s="1">
        <v>2067.6</v>
      </c>
      <c r="H560" s="1">
        <v>377.4</v>
      </c>
    </row>
    <row r="561" spans="1:8" x14ac:dyDescent="0.25">
      <c r="A561" t="s">
        <v>587</v>
      </c>
      <c r="B561" s="2">
        <v>45681</v>
      </c>
      <c r="C561" t="s">
        <v>9</v>
      </c>
      <c r="D561" t="s">
        <v>55</v>
      </c>
      <c r="E561" t="s">
        <v>17</v>
      </c>
      <c r="F561" s="1">
        <v>8</v>
      </c>
      <c r="G561" s="1">
        <v>1439.02</v>
      </c>
      <c r="H561" s="1">
        <v>274.92</v>
      </c>
    </row>
    <row r="562" spans="1:8" x14ac:dyDescent="0.25">
      <c r="A562" t="s">
        <v>588</v>
      </c>
      <c r="B562" s="2">
        <v>45926</v>
      </c>
      <c r="C562" t="s">
        <v>28</v>
      </c>
      <c r="D562" t="s">
        <v>25</v>
      </c>
      <c r="E562" t="s">
        <v>26</v>
      </c>
      <c r="F562" s="1">
        <v>6</v>
      </c>
      <c r="G562" s="1">
        <v>385.29</v>
      </c>
      <c r="H562" s="1">
        <v>121.15</v>
      </c>
    </row>
    <row r="563" spans="1:8" x14ac:dyDescent="0.25">
      <c r="A563" t="s">
        <v>589</v>
      </c>
      <c r="B563" s="2">
        <v>45879</v>
      </c>
      <c r="C563" t="s">
        <v>28</v>
      </c>
      <c r="D563" t="s">
        <v>25</v>
      </c>
      <c r="E563" t="s">
        <v>26</v>
      </c>
      <c r="F563" s="1">
        <v>9</v>
      </c>
      <c r="G563" s="1">
        <v>7573.3</v>
      </c>
      <c r="H563" s="1">
        <v>1870.03</v>
      </c>
    </row>
    <row r="564" spans="1:8" x14ac:dyDescent="0.25">
      <c r="A564" t="s">
        <v>590</v>
      </c>
      <c r="B564" s="2">
        <v>45971</v>
      </c>
      <c r="C564" t="s">
        <v>9</v>
      </c>
      <c r="D564" t="s">
        <v>57</v>
      </c>
      <c r="E564" t="s">
        <v>14</v>
      </c>
      <c r="F564" s="1">
        <v>7</v>
      </c>
      <c r="G564" s="1">
        <v>1546.67</v>
      </c>
      <c r="H564" s="1">
        <v>468.85</v>
      </c>
    </row>
    <row r="565" spans="1:8" x14ac:dyDescent="0.25">
      <c r="A565" t="s">
        <v>591</v>
      </c>
      <c r="B565" s="2">
        <v>45911</v>
      </c>
      <c r="C565" t="s">
        <v>28</v>
      </c>
      <c r="D565" t="s">
        <v>41</v>
      </c>
      <c r="E565" t="s">
        <v>11</v>
      </c>
      <c r="F565" s="1">
        <v>3</v>
      </c>
      <c r="G565" s="1">
        <v>1894.21</v>
      </c>
      <c r="H565" s="1">
        <v>391.55</v>
      </c>
    </row>
    <row r="566" spans="1:8" x14ac:dyDescent="0.25">
      <c r="A566" t="s">
        <v>592</v>
      </c>
      <c r="B566" s="2">
        <v>45683</v>
      </c>
      <c r="C566" t="s">
        <v>28</v>
      </c>
      <c r="D566" t="s">
        <v>20</v>
      </c>
      <c r="E566" t="s">
        <v>11</v>
      </c>
      <c r="F566" s="1">
        <v>6</v>
      </c>
      <c r="G566" s="1">
        <v>1962.15</v>
      </c>
      <c r="H566" s="1">
        <v>670.94</v>
      </c>
    </row>
    <row r="567" spans="1:8" x14ac:dyDescent="0.25">
      <c r="A567" t="s">
        <v>593</v>
      </c>
      <c r="B567" s="2">
        <v>45951</v>
      </c>
      <c r="C567" t="s">
        <v>35</v>
      </c>
      <c r="D567" t="s">
        <v>57</v>
      </c>
      <c r="E567" t="s">
        <v>14</v>
      </c>
      <c r="F567" s="1">
        <v>4</v>
      </c>
      <c r="G567" s="1">
        <v>562.62</v>
      </c>
      <c r="H567" s="1">
        <v>112.49</v>
      </c>
    </row>
    <row r="568" spans="1:8" x14ac:dyDescent="0.25">
      <c r="A568" t="s">
        <v>594</v>
      </c>
      <c r="B568" s="2">
        <v>45992</v>
      </c>
      <c r="C568" t="s">
        <v>9</v>
      </c>
      <c r="D568" t="s">
        <v>20</v>
      </c>
      <c r="E568" t="s">
        <v>11</v>
      </c>
      <c r="F568" s="1">
        <v>8</v>
      </c>
      <c r="G568" s="1">
        <v>3307.77</v>
      </c>
      <c r="H568" s="1">
        <v>1140.46</v>
      </c>
    </row>
    <row r="569" spans="1:8" x14ac:dyDescent="0.25">
      <c r="A569" t="s">
        <v>595</v>
      </c>
      <c r="B569" s="2">
        <v>45704</v>
      </c>
      <c r="C569" t="s">
        <v>22</v>
      </c>
      <c r="D569" t="s">
        <v>20</v>
      </c>
      <c r="E569" t="s">
        <v>11</v>
      </c>
      <c r="F569" s="1">
        <v>7</v>
      </c>
      <c r="G569" s="1">
        <v>638.45000000000005</v>
      </c>
      <c r="H569" s="1">
        <v>145.72999999999999</v>
      </c>
    </row>
    <row r="570" spans="1:8" x14ac:dyDescent="0.25">
      <c r="A570" t="s">
        <v>596</v>
      </c>
      <c r="B570" s="2">
        <v>45685</v>
      </c>
      <c r="C570" t="s">
        <v>28</v>
      </c>
      <c r="D570" t="s">
        <v>16</v>
      </c>
      <c r="E570" t="s">
        <v>17</v>
      </c>
      <c r="F570" s="1">
        <v>8</v>
      </c>
      <c r="G570" s="1">
        <v>9143.27</v>
      </c>
      <c r="H570" s="1">
        <v>1628.44</v>
      </c>
    </row>
    <row r="571" spans="1:8" x14ac:dyDescent="0.25">
      <c r="A571" t="s">
        <v>597</v>
      </c>
      <c r="B571" s="2">
        <v>45994</v>
      </c>
      <c r="C571" t="s">
        <v>22</v>
      </c>
      <c r="D571" t="s">
        <v>57</v>
      </c>
      <c r="E571" t="s">
        <v>14</v>
      </c>
      <c r="F571" s="1">
        <v>9</v>
      </c>
      <c r="G571" s="1">
        <v>8392.76</v>
      </c>
      <c r="H571" s="1">
        <v>2030.94</v>
      </c>
    </row>
    <row r="572" spans="1:8" x14ac:dyDescent="0.25">
      <c r="A572" t="s">
        <v>598</v>
      </c>
      <c r="B572" s="2">
        <v>45832</v>
      </c>
      <c r="C572" t="s">
        <v>22</v>
      </c>
      <c r="D572" t="s">
        <v>13</v>
      </c>
      <c r="E572" t="s">
        <v>14</v>
      </c>
      <c r="F572" s="1">
        <v>2</v>
      </c>
      <c r="G572" s="1">
        <v>1846.44</v>
      </c>
      <c r="H572" s="1">
        <v>258.26</v>
      </c>
    </row>
    <row r="573" spans="1:8" x14ac:dyDescent="0.25">
      <c r="A573" t="s">
        <v>599</v>
      </c>
      <c r="B573" s="2">
        <v>45742</v>
      </c>
      <c r="C573" t="s">
        <v>35</v>
      </c>
      <c r="D573" t="s">
        <v>25</v>
      </c>
      <c r="E573" t="s">
        <v>26</v>
      </c>
      <c r="F573" s="1">
        <v>9</v>
      </c>
      <c r="G573" s="1">
        <v>4319.7700000000004</v>
      </c>
      <c r="H573" s="1">
        <v>469.59</v>
      </c>
    </row>
    <row r="574" spans="1:8" x14ac:dyDescent="0.25">
      <c r="A574" t="s">
        <v>600</v>
      </c>
      <c r="B574" s="2">
        <v>45754</v>
      </c>
      <c r="C574" t="s">
        <v>9</v>
      </c>
      <c r="D574" t="s">
        <v>16</v>
      </c>
      <c r="E574" t="s">
        <v>17</v>
      </c>
      <c r="F574" s="1">
        <v>7</v>
      </c>
      <c r="G574" s="1">
        <v>1211.04</v>
      </c>
      <c r="H574" s="1">
        <v>296.62</v>
      </c>
    </row>
    <row r="575" spans="1:8" x14ac:dyDescent="0.25">
      <c r="A575" t="s">
        <v>601</v>
      </c>
      <c r="B575" s="2">
        <v>45831</v>
      </c>
      <c r="C575" t="s">
        <v>9</v>
      </c>
      <c r="D575" t="s">
        <v>13</v>
      </c>
      <c r="E575" t="s">
        <v>14</v>
      </c>
      <c r="F575" s="1">
        <v>8</v>
      </c>
      <c r="G575" s="1">
        <v>7985.9</v>
      </c>
      <c r="H575" s="1">
        <v>1049.8</v>
      </c>
    </row>
    <row r="576" spans="1:8" x14ac:dyDescent="0.25">
      <c r="A576" t="s">
        <v>602</v>
      </c>
      <c r="B576" s="2">
        <v>45892</v>
      </c>
      <c r="C576" t="s">
        <v>28</v>
      </c>
      <c r="D576" t="s">
        <v>13</v>
      </c>
      <c r="E576" t="s">
        <v>14</v>
      </c>
      <c r="F576" s="1">
        <v>10</v>
      </c>
      <c r="G576" s="1">
        <v>1917.02</v>
      </c>
      <c r="H576" s="1">
        <v>614.92999999999995</v>
      </c>
    </row>
    <row r="577" spans="1:8" x14ac:dyDescent="0.25">
      <c r="A577" t="s">
        <v>603</v>
      </c>
      <c r="B577" s="2">
        <v>45879</v>
      </c>
      <c r="C577" t="s">
        <v>35</v>
      </c>
      <c r="D577" t="s">
        <v>13</v>
      </c>
      <c r="E577" t="s">
        <v>14</v>
      </c>
      <c r="F577" s="1">
        <v>9</v>
      </c>
      <c r="G577" s="1">
        <v>8069.81</v>
      </c>
      <c r="H577" s="1">
        <v>1850.98</v>
      </c>
    </row>
    <row r="578" spans="1:8" x14ac:dyDescent="0.25">
      <c r="A578" t="s">
        <v>604</v>
      </c>
      <c r="B578" s="2">
        <v>45711</v>
      </c>
      <c r="C578" t="s">
        <v>35</v>
      </c>
      <c r="D578" t="s">
        <v>16</v>
      </c>
      <c r="E578" t="s">
        <v>17</v>
      </c>
      <c r="F578" s="1">
        <v>10</v>
      </c>
      <c r="G578" s="1">
        <v>2496.98</v>
      </c>
      <c r="H578" s="1">
        <v>749.38</v>
      </c>
    </row>
    <row r="579" spans="1:8" x14ac:dyDescent="0.25">
      <c r="A579" t="s">
        <v>605</v>
      </c>
      <c r="B579" s="2">
        <v>46012</v>
      </c>
      <c r="C579" t="s">
        <v>28</v>
      </c>
      <c r="D579" t="s">
        <v>25</v>
      </c>
      <c r="E579" t="s">
        <v>26</v>
      </c>
      <c r="F579" s="1">
        <v>7</v>
      </c>
      <c r="G579" s="1">
        <v>3720.25</v>
      </c>
      <c r="H579" s="1">
        <v>909.33</v>
      </c>
    </row>
    <row r="580" spans="1:8" x14ac:dyDescent="0.25">
      <c r="A580" t="s">
        <v>606</v>
      </c>
      <c r="B580" s="2">
        <v>45726</v>
      </c>
      <c r="C580" t="s">
        <v>28</v>
      </c>
      <c r="D580" t="s">
        <v>30</v>
      </c>
      <c r="E580" t="s">
        <v>26</v>
      </c>
      <c r="F580" s="1">
        <v>6</v>
      </c>
      <c r="G580" s="1">
        <v>6996.39</v>
      </c>
      <c r="H580" s="1">
        <v>1415.15</v>
      </c>
    </row>
    <row r="581" spans="1:8" x14ac:dyDescent="0.25">
      <c r="A581" t="s">
        <v>607</v>
      </c>
      <c r="B581" s="2">
        <v>45818</v>
      </c>
      <c r="C581" t="s">
        <v>28</v>
      </c>
      <c r="D581" t="s">
        <v>23</v>
      </c>
      <c r="E581" t="s">
        <v>14</v>
      </c>
      <c r="F581" s="1">
        <v>9</v>
      </c>
      <c r="G581" s="1">
        <v>3543.75</v>
      </c>
      <c r="H581" s="1">
        <v>954.7</v>
      </c>
    </row>
    <row r="582" spans="1:8" x14ac:dyDescent="0.25">
      <c r="A582" t="s">
        <v>608</v>
      </c>
      <c r="B582" s="2">
        <v>46002</v>
      </c>
      <c r="C582" t="s">
        <v>28</v>
      </c>
      <c r="D582" t="s">
        <v>48</v>
      </c>
      <c r="E582" t="s">
        <v>17</v>
      </c>
      <c r="F582" s="1">
        <v>10</v>
      </c>
      <c r="G582" s="1">
        <v>8715.42</v>
      </c>
      <c r="H582" s="1">
        <v>2312.94</v>
      </c>
    </row>
    <row r="583" spans="1:8" x14ac:dyDescent="0.25">
      <c r="A583" t="s">
        <v>609</v>
      </c>
      <c r="B583" s="2">
        <v>45717</v>
      </c>
      <c r="C583" t="s">
        <v>22</v>
      </c>
      <c r="D583" t="s">
        <v>16</v>
      </c>
      <c r="E583" t="s">
        <v>17</v>
      </c>
      <c r="F583" s="1">
        <v>9</v>
      </c>
      <c r="G583" s="1">
        <v>7636.13</v>
      </c>
      <c r="H583" s="1">
        <v>1275.56</v>
      </c>
    </row>
    <row r="584" spans="1:8" x14ac:dyDescent="0.25">
      <c r="A584" t="s">
        <v>610</v>
      </c>
      <c r="B584" s="2">
        <v>46003</v>
      </c>
      <c r="C584" t="s">
        <v>22</v>
      </c>
      <c r="D584" t="s">
        <v>23</v>
      </c>
      <c r="E584" t="s">
        <v>14</v>
      </c>
      <c r="F584" s="1">
        <v>10</v>
      </c>
      <c r="G584" s="1">
        <v>11340.75</v>
      </c>
      <c r="H584" s="1">
        <v>3081.66</v>
      </c>
    </row>
    <row r="585" spans="1:8" x14ac:dyDescent="0.25">
      <c r="A585" t="s">
        <v>611</v>
      </c>
      <c r="B585" s="2">
        <v>45685</v>
      </c>
      <c r="C585" t="s">
        <v>9</v>
      </c>
      <c r="D585" t="s">
        <v>13</v>
      </c>
      <c r="E585" t="s">
        <v>14</v>
      </c>
      <c r="F585" s="1">
        <v>9</v>
      </c>
      <c r="G585" s="1">
        <v>1551.97</v>
      </c>
      <c r="H585" s="1">
        <v>283.75</v>
      </c>
    </row>
    <row r="586" spans="1:8" x14ac:dyDescent="0.25">
      <c r="A586" t="s">
        <v>612</v>
      </c>
      <c r="B586" s="2">
        <v>45732</v>
      </c>
      <c r="C586" t="s">
        <v>9</v>
      </c>
      <c r="D586" t="s">
        <v>55</v>
      </c>
      <c r="E586" t="s">
        <v>17</v>
      </c>
      <c r="F586" s="1">
        <v>3</v>
      </c>
      <c r="G586" s="1">
        <v>3543.19</v>
      </c>
      <c r="H586" s="1">
        <v>937.23</v>
      </c>
    </row>
    <row r="587" spans="1:8" x14ac:dyDescent="0.25">
      <c r="A587" t="s">
        <v>613</v>
      </c>
      <c r="B587" s="2">
        <v>45710</v>
      </c>
      <c r="C587" t="s">
        <v>28</v>
      </c>
      <c r="D587" t="s">
        <v>33</v>
      </c>
      <c r="E587" t="s">
        <v>26</v>
      </c>
      <c r="F587" s="1">
        <v>9</v>
      </c>
      <c r="G587" s="1">
        <v>784.37</v>
      </c>
      <c r="H587" s="1">
        <v>235.14</v>
      </c>
    </row>
    <row r="588" spans="1:8" x14ac:dyDescent="0.25">
      <c r="A588" t="s">
        <v>614</v>
      </c>
      <c r="B588" s="2">
        <v>45805</v>
      </c>
      <c r="C588" t="s">
        <v>9</v>
      </c>
      <c r="D588" t="s">
        <v>13</v>
      </c>
      <c r="E588" t="s">
        <v>14</v>
      </c>
      <c r="F588" s="1">
        <v>9</v>
      </c>
      <c r="G588" s="1">
        <v>8567.58</v>
      </c>
      <c r="H588" s="1">
        <v>2533.2800000000002</v>
      </c>
    </row>
    <row r="589" spans="1:8" x14ac:dyDescent="0.25">
      <c r="A589" t="s">
        <v>615</v>
      </c>
      <c r="B589" s="2">
        <v>45818</v>
      </c>
      <c r="C589" t="s">
        <v>9</v>
      </c>
      <c r="D589" t="s">
        <v>57</v>
      </c>
      <c r="E589" t="s">
        <v>14</v>
      </c>
      <c r="F589" s="1">
        <v>7</v>
      </c>
      <c r="G589" s="1">
        <v>8051.45</v>
      </c>
      <c r="H589" s="1">
        <v>2765.45</v>
      </c>
    </row>
    <row r="590" spans="1:8" x14ac:dyDescent="0.25">
      <c r="A590" t="s">
        <v>616</v>
      </c>
      <c r="B590" s="2">
        <v>45884</v>
      </c>
      <c r="C590" t="s">
        <v>28</v>
      </c>
      <c r="D590" t="s">
        <v>41</v>
      </c>
      <c r="E590" t="s">
        <v>11</v>
      </c>
      <c r="F590" s="1">
        <v>5</v>
      </c>
      <c r="G590" s="1">
        <v>1417.75</v>
      </c>
      <c r="H590" s="1">
        <v>446.01</v>
      </c>
    </row>
    <row r="591" spans="1:8" x14ac:dyDescent="0.25">
      <c r="A591" t="s">
        <v>617</v>
      </c>
      <c r="B591" s="2">
        <v>45757</v>
      </c>
      <c r="C591" t="s">
        <v>22</v>
      </c>
      <c r="D591" t="s">
        <v>25</v>
      </c>
      <c r="E591" t="s">
        <v>26</v>
      </c>
      <c r="F591" s="1">
        <v>9</v>
      </c>
      <c r="G591" s="1">
        <v>8092.96</v>
      </c>
      <c r="H591" s="1">
        <v>1076.74</v>
      </c>
    </row>
    <row r="592" spans="1:8" x14ac:dyDescent="0.25">
      <c r="A592" t="s">
        <v>618</v>
      </c>
      <c r="B592" s="2">
        <v>45921</v>
      </c>
      <c r="C592" t="s">
        <v>9</v>
      </c>
      <c r="D592" t="s">
        <v>13</v>
      </c>
      <c r="E592" t="s">
        <v>14</v>
      </c>
      <c r="F592" s="1">
        <v>2</v>
      </c>
      <c r="G592" s="1">
        <v>530.04999999999995</v>
      </c>
      <c r="H592" s="1">
        <v>67.28</v>
      </c>
    </row>
    <row r="593" spans="1:8" x14ac:dyDescent="0.25">
      <c r="A593" t="s">
        <v>619</v>
      </c>
      <c r="B593" s="2">
        <v>45740</v>
      </c>
      <c r="C593" t="s">
        <v>22</v>
      </c>
      <c r="D593" t="s">
        <v>13</v>
      </c>
      <c r="E593" t="s">
        <v>14</v>
      </c>
      <c r="F593" s="1">
        <v>7</v>
      </c>
      <c r="G593" s="1">
        <v>2596.85</v>
      </c>
      <c r="H593" s="1">
        <v>393.02</v>
      </c>
    </row>
    <row r="594" spans="1:8" x14ac:dyDescent="0.25">
      <c r="A594" t="s">
        <v>620</v>
      </c>
      <c r="B594" s="2">
        <v>45736</v>
      </c>
      <c r="C594" t="s">
        <v>22</v>
      </c>
      <c r="D594" t="s">
        <v>20</v>
      </c>
      <c r="E594" t="s">
        <v>11</v>
      </c>
      <c r="F594" s="1">
        <v>8</v>
      </c>
      <c r="G594" s="1">
        <v>6929.14</v>
      </c>
      <c r="H594" s="1">
        <v>843.95</v>
      </c>
    </row>
    <row r="595" spans="1:8" x14ac:dyDescent="0.25">
      <c r="A595" t="s">
        <v>621</v>
      </c>
      <c r="B595" s="2">
        <v>45951</v>
      </c>
      <c r="C595" t="s">
        <v>22</v>
      </c>
      <c r="D595" t="s">
        <v>41</v>
      </c>
      <c r="E595" t="s">
        <v>11</v>
      </c>
      <c r="F595" s="1">
        <v>10</v>
      </c>
      <c r="G595" s="1">
        <v>10196.11</v>
      </c>
      <c r="H595" s="1">
        <v>1644.75</v>
      </c>
    </row>
    <row r="596" spans="1:8" x14ac:dyDescent="0.25">
      <c r="A596" t="s">
        <v>622</v>
      </c>
      <c r="B596" s="2">
        <v>45924</v>
      </c>
      <c r="C596" t="s">
        <v>9</v>
      </c>
      <c r="D596" t="s">
        <v>41</v>
      </c>
      <c r="E596" t="s">
        <v>11</v>
      </c>
      <c r="F596" s="1">
        <v>6</v>
      </c>
      <c r="G596" s="1">
        <v>3925.23</v>
      </c>
      <c r="H596" s="1">
        <v>1328.25</v>
      </c>
    </row>
    <row r="597" spans="1:8" x14ac:dyDescent="0.25">
      <c r="A597" t="s">
        <v>623</v>
      </c>
      <c r="B597" s="2">
        <v>45771</v>
      </c>
      <c r="C597" t="s">
        <v>28</v>
      </c>
      <c r="D597" t="s">
        <v>55</v>
      </c>
      <c r="E597" t="s">
        <v>17</v>
      </c>
      <c r="F597" s="1">
        <v>9</v>
      </c>
      <c r="G597" s="1">
        <v>6008.32</v>
      </c>
      <c r="H597" s="1">
        <v>629.82000000000005</v>
      </c>
    </row>
    <row r="598" spans="1:8" x14ac:dyDescent="0.25">
      <c r="A598" t="s">
        <v>624</v>
      </c>
      <c r="B598" s="2">
        <v>45974</v>
      </c>
      <c r="C598" t="s">
        <v>35</v>
      </c>
      <c r="D598" t="s">
        <v>30</v>
      </c>
      <c r="E598" t="s">
        <v>26</v>
      </c>
      <c r="F598" s="1">
        <v>6</v>
      </c>
      <c r="G598" s="1">
        <v>2325.66</v>
      </c>
      <c r="H598" s="1">
        <v>782.78</v>
      </c>
    </row>
    <row r="599" spans="1:8" x14ac:dyDescent="0.25">
      <c r="A599" t="s">
        <v>625</v>
      </c>
      <c r="B599" s="2">
        <v>45972</v>
      </c>
      <c r="C599" t="s">
        <v>28</v>
      </c>
      <c r="D599" t="s">
        <v>10</v>
      </c>
      <c r="E599" t="s">
        <v>11</v>
      </c>
      <c r="F599" s="1">
        <v>6</v>
      </c>
      <c r="G599" s="1">
        <v>3375.1</v>
      </c>
      <c r="H599" s="1">
        <v>1094.25</v>
      </c>
    </row>
    <row r="600" spans="1:8" x14ac:dyDescent="0.25">
      <c r="A600" t="s">
        <v>626</v>
      </c>
      <c r="B600" s="2">
        <v>45716</v>
      </c>
      <c r="C600" t="s">
        <v>35</v>
      </c>
      <c r="D600" t="s">
        <v>41</v>
      </c>
      <c r="E600" t="s">
        <v>11</v>
      </c>
      <c r="F600" s="1">
        <v>6</v>
      </c>
      <c r="G600" s="1">
        <v>2931.47</v>
      </c>
      <c r="H600" s="1">
        <v>864.71</v>
      </c>
    </row>
    <row r="601" spans="1:8" x14ac:dyDescent="0.25">
      <c r="A601" t="s">
        <v>627</v>
      </c>
      <c r="B601" s="2">
        <v>45849</v>
      </c>
      <c r="C601" t="s">
        <v>35</v>
      </c>
      <c r="D601" t="s">
        <v>25</v>
      </c>
      <c r="E601" t="s">
        <v>26</v>
      </c>
      <c r="F601" s="1">
        <v>5</v>
      </c>
      <c r="G601" s="1">
        <v>392.06</v>
      </c>
      <c r="H601" s="1">
        <v>86.08</v>
      </c>
    </row>
    <row r="602" spans="1:8" x14ac:dyDescent="0.25">
      <c r="A602" t="s">
        <v>628</v>
      </c>
      <c r="B602" s="2">
        <v>45921</v>
      </c>
      <c r="C602" t="s">
        <v>9</v>
      </c>
      <c r="D602" t="s">
        <v>13</v>
      </c>
      <c r="E602" t="s">
        <v>14</v>
      </c>
      <c r="F602" s="1">
        <v>5</v>
      </c>
      <c r="G602" s="1">
        <v>5415.12</v>
      </c>
      <c r="H602" s="1">
        <v>714.68</v>
      </c>
    </row>
    <row r="603" spans="1:8" x14ac:dyDescent="0.25">
      <c r="A603" t="s">
        <v>629</v>
      </c>
      <c r="B603" s="2">
        <v>45765</v>
      </c>
      <c r="C603" t="s">
        <v>28</v>
      </c>
      <c r="D603" t="s">
        <v>10</v>
      </c>
      <c r="E603" t="s">
        <v>11</v>
      </c>
      <c r="F603" s="1">
        <v>9</v>
      </c>
      <c r="G603" s="1">
        <v>5968.68</v>
      </c>
      <c r="H603" s="1">
        <v>1487.82</v>
      </c>
    </row>
    <row r="604" spans="1:8" x14ac:dyDescent="0.25">
      <c r="A604" t="s">
        <v>630</v>
      </c>
      <c r="B604" s="2">
        <v>45880</v>
      </c>
      <c r="C604" t="s">
        <v>9</v>
      </c>
      <c r="D604" t="s">
        <v>13</v>
      </c>
      <c r="E604" t="s">
        <v>14</v>
      </c>
      <c r="F604" s="1">
        <v>4</v>
      </c>
      <c r="G604" s="1">
        <v>2673.67</v>
      </c>
      <c r="H604" s="1">
        <v>721.2</v>
      </c>
    </row>
    <row r="605" spans="1:8" x14ac:dyDescent="0.25">
      <c r="A605" t="s">
        <v>631</v>
      </c>
      <c r="B605" s="2">
        <v>45695</v>
      </c>
      <c r="C605" t="s">
        <v>9</v>
      </c>
      <c r="D605" t="s">
        <v>48</v>
      </c>
      <c r="E605" t="s">
        <v>17</v>
      </c>
      <c r="F605" s="1">
        <v>8</v>
      </c>
      <c r="G605" s="1">
        <v>6995.19</v>
      </c>
      <c r="H605" s="1">
        <v>631.16999999999996</v>
      </c>
    </row>
    <row r="606" spans="1:8" x14ac:dyDescent="0.25">
      <c r="A606" t="s">
        <v>632</v>
      </c>
      <c r="B606" s="2">
        <v>45790</v>
      </c>
      <c r="C606" t="s">
        <v>35</v>
      </c>
      <c r="D606" t="s">
        <v>55</v>
      </c>
      <c r="E606" t="s">
        <v>17</v>
      </c>
      <c r="F606" s="1">
        <v>9</v>
      </c>
      <c r="G606" s="1">
        <v>1179.08</v>
      </c>
      <c r="H606" s="1">
        <v>355.89</v>
      </c>
    </row>
    <row r="607" spans="1:8" x14ac:dyDescent="0.25">
      <c r="A607" t="s">
        <v>633</v>
      </c>
      <c r="B607" s="2">
        <v>46002</v>
      </c>
      <c r="C607" t="s">
        <v>9</v>
      </c>
      <c r="D607" t="s">
        <v>57</v>
      </c>
      <c r="E607" t="s">
        <v>14</v>
      </c>
      <c r="F607" s="1">
        <v>7</v>
      </c>
      <c r="G607" s="1">
        <v>3835.85</v>
      </c>
      <c r="H607" s="1">
        <v>324.36</v>
      </c>
    </row>
    <row r="608" spans="1:8" x14ac:dyDescent="0.25">
      <c r="A608" t="s">
        <v>634</v>
      </c>
      <c r="B608" s="2">
        <v>45681</v>
      </c>
      <c r="C608" t="s">
        <v>9</v>
      </c>
      <c r="D608" t="s">
        <v>41</v>
      </c>
      <c r="E608" t="s">
        <v>11</v>
      </c>
      <c r="F608" s="1">
        <v>10</v>
      </c>
      <c r="G608" s="1">
        <v>1227.23</v>
      </c>
      <c r="H608" s="1">
        <v>345.35</v>
      </c>
    </row>
    <row r="609" spans="1:8" x14ac:dyDescent="0.25">
      <c r="A609" t="s">
        <v>635</v>
      </c>
      <c r="B609" s="2">
        <v>45968</v>
      </c>
      <c r="C609" t="s">
        <v>9</v>
      </c>
      <c r="D609" t="s">
        <v>25</v>
      </c>
      <c r="E609" t="s">
        <v>26</v>
      </c>
      <c r="F609" s="1">
        <v>2</v>
      </c>
      <c r="G609" s="1">
        <v>766.62</v>
      </c>
      <c r="H609" s="1">
        <v>203.3</v>
      </c>
    </row>
    <row r="610" spans="1:8" x14ac:dyDescent="0.25">
      <c r="A610" t="s">
        <v>636</v>
      </c>
      <c r="B610" s="2">
        <v>45900</v>
      </c>
      <c r="C610" t="s">
        <v>28</v>
      </c>
      <c r="D610" t="s">
        <v>30</v>
      </c>
      <c r="E610" t="s">
        <v>26</v>
      </c>
      <c r="F610" s="1">
        <v>7</v>
      </c>
      <c r="G610" s="1">
        <v>3530.66</v>
      </c>
      <c r="H610" s="1">
        <v>912.31</v>
      </c>
    </row>
    <row r="611" spans="1:8" x14ac:dyDescent="0.25">
      <c r="A611" t="s">
        <v>637</v>
      </c>
      <c r="B611" s="2">
        <v>45809</v>
      </c>
      <c r="C611" t="s">
        <v>28</v>
      </c>
      <c r="D611" t="s">
        <v>48</v>
      </c>
      <c r="E611" t="s">
        <v>17</v>
      </c>
      <c r="F611" s="1">
        <v>7</v>
      </c>
      <c r="G611" s="1">
        <v>6764</v>
      </c>
      <c r="H611" s="1">
        <v>2092.4899999999998</v>
      </c>
    </row>
    <row r="612" spans="1:8" x14ac:dyDescent="0.25">
      <c r="A612" t="s">
        <v>638</v>
      </c>
      <c r="B612" s="2">
        <v>45942</v>
      </c>
      <c r="C612" t="s">
        <v>28</v>
      </c>
      <c r="D612" t="s">
        <v>25</v>
      </c>
      <c r="E612" t="s">
        <v>26</v>
      </c>
      <c r="F612" s="1">
        <v>6</v>
      </c>
      <c r="G612" s="1">
        <v>6906</v>
      </c>
      <c r="H612" s="1">
        <v>573.27</v>
      </c>
    </row>
    <row r="613" spans="1:8" x14ac:dyDescent="0.25">
      <c r="A613" t="s">
        <v>639</v>
      </c>
      <c r="B613" s="2">
        <v>45938</v>
      </c>
      <c r="C613" t="s">
        <v>9</v>
      </c>
      <c r="D613" t="s">
        <v>10</v>
      </c>
      <c r="E613" t="s">
        <v>11</v>
      </c>
      <c r="F613" s="1">
        <v>1</v>
      </c>
      <c r="G613" s="1">
        <v>708.63</v>
      </c>
      <c r="H613" s="1">
        <v>132.09</v>
      </c>
    </row>
    <row r="614" spans="1:8" x14ac:dyDescent="0.25">
      <c r="A614" t="s">
        <v>640</v>
      </c>
      <c r="B614" s="2">
        <v>45920</v>
      </c>
      <c r="C614" t="s">
        <v>28</v>
      </c>
      <c r="D614" t="s">
        <v>33</v>
      </c>
      <c r="E614" t="s">
        <v>26</v>
      </c>
      <c r="F614" s="1">
        <v>6</v>
      </c>
      <c r="G614" s="1">
        <v>1760.98</v>
      </c>
      <c r="H614" s="1">
        <v>571.47</v>
      </c>
    </row>
    <row r="615" spans="1:8" x14ac:dyDescent="0.25">
      <c r="A615" t="s">
        <v>641</v>
      </c>
      <c r="B615" s="2">
        <v>45716</v>
      </c>
      <c r="C615" t="s">
        <v>28</v>
      </c>
      <c r="D615" t="s">
        <v>48</v>
      </c>
      <c r="E615" t="s">
        <v>17</v>
      </c>
      <c r="F615" s="1">
        <v>4</v>
      </c>
      <c r="G615" s="1">
        <v>3037.67</v>
      </c>
      <c r="H615" s="1">
        <v>450.31</v>
      </c>
    </row>
    <row r="616" spans="1:8" x14ac:dyDescent="0.25">
      <c r="A616" t="s">
        <v>642</v>
      </c>
      <c r="B616" s="2">
        <v>46001</v>
      </c>
      <c r="C616" t="s">
        <v>9</v>
      </c>
      <c r="D616" t="s">
        <v>41</v>
      </c>
      <c r="E616" t="s">
        <v>11</v>
      </c>
      <c r="F616" s="1">
        <v>8</v>
      </c>
      <c r="G616" s="1">
        <v>6331.01</v>
      </c>
      <c r="H616" s="1">
        <v>631.51</v>
      </c>
    </row>
    <row r="617" spans="1:8" x14ac:dyDescent="0.25">
      <c r="A617" t="s">
        <v>643</v>
      </c>
      <c r="B617" s="2">
        <v>45827</v>
      </c>
      <c r="C617" t="s">
        <v>22</v>
      </c>
      <c r="D617" t="s">
        <v>33</v>
      </c>
      <c r="E617" t="s">
        <v>26</v>
      </c>
      <c r="F617" s="1">
        <v>4</v>
      </c>
      <c r="G617" s="1">
        <v>3537.71</v>
      </c>
      <c r="H617" s="1">
        <v>748.37</v>
      </c>
    </row>
    <row r="618" spans="1:8" x14ac:dyDescent="0.25">
      <c r="A618" t="s">
        <v>644</v>
      </c>
      <c r="B618" s="2">
        <v>45757</v>
      </c>
      <c r="C618" t="s">
        <v>22</v>
      </c>
      <c r="D618" t="s">
        <v>16</v>
      </c>
      <c r="E618" t="s">
        <v>17</v>
      </c>
      <c r="F618" s="1">
        <v>4</v>
      </c>
      <c r="G618" s="1">
        <v>660.21</v>
      </c>
      <c r="H618" s="1">
        <v>163.25</v>
      </c>
    </row>
    <row r="619" spans="1:8" x14ac:dyDescent="0.25">
      <c r="A619" t="s">
        <v>645</v>
      </c>
      <c r="B619" s="2">
        <v>45957</v>
      </c>
      <c r="C619" t="s">
        <v>28</v>
      </c>
      <c r="D619" t="s">
        <v>57</v>
      </c>
      <c r="E619" t="s">
        <v>14</v>
      </c>
      <c r="F619" s="1">
        <v>6</v>
      </c>
      <c r="G619" s="1">
        <v>4552.76</v>
      </c>
      <c r="H619" s="1">
        <v>739.97</v>
      </c>
    </row>
    <row r="620" spans="1:8" x14ac:dyDescent="0.25">
      <c r="A620" t="s">
        <v>646</v>
      </c>
      <c r="B620" s="2">
        <v>45771</v>
      </c>
      <c r="C620" t="s">
        <v>35</v>
      </c>
      <c r="D620" t="s">
        <v>30</v>
      </c>
      <c r="E620" t="s">
        <v>26</v>
      </c>
      <c r="F620" s="1">
        <v>7</v>
      </c>
      <c r="G620" s="1">
        <v>1707.55</v>
      </c>
      <c r="H620" s="1">
        <v>281.01</v>
      </c>
    </row>
    <row r="621" spans="1:8" x14ac:dyDescent="0.25">
      <c r="A621" t="s">
        <v>647</v>
      </c>
      <c r="B621" s="2">
        <v>45903</v>
      </c>
      <c r="C621" t="s">
        <v>35</v>
      </c>
      <c r="D621" t="s">
        <v>30</v>
      </c>
      <c r="E621" t="s">
        <v>26</v>
      </c>
      <c r="F621" s="1">
        <v>3</v>
      </c>
      <c r="G621" s="1">
        <v>2494.5500000000002</v>
      </c>
      <c r="H621" s="1">
        <v>422.88</v>
      </c>
    </row>
    <row r="622" spans="1:8" x14ac:dyDescent="0.25">
      <c r="A622" t="s">
        <v>648</v>
      </c>
      <c r="B622" s="2">
        <v>45988</v>
      </c>
      <c r="C622" t="s">
        <v>9</v>
      </c>
      <c r="D622" t="s">
        <v>57</v>
      </c>
      <c r="E622" t="s">
        <v>14</v>
      </c>
      <c r="F622" s="1">
        <v>5</v>
      </c>
      <c r="G622" s="1">
        <v>3050.09</v>
      </c>
      <c r="H622" s="1">
        <v>333.63</v>
      </c>
    </row>
    <row r="623" spans="1:8" x14ac:dyDescent="0.25">
      <c r="A623" t="s">
        <v>649</v>
      </c>
      <c r="B623" s="2">
        <v>45978</v>
      </c>
      <c r="C623" t="s">
        <v>9</v>
      </c>
      <c r="D623" t="s">
        <v>33</v>
      </c>
      <c r="E623" t="s">
        <v>26</v>
      </c>
      <c r="F623" s="1">
        <v>9</v>
      </c>
      <c r="G623" s="1">
        <v>2483.0700000000002</v>
      </c>
      <c r="H623" s="1">
        <v>690.44</v>
      </c>
    </row>
    <row r="624" spans="1:8" x14ac:dyDescent="0.25">
      <c r="A624" t="s">
        <v>650</v>
      </c>
      <c r="B624" s="2">
        <v>45954</v>
      </c>
      <c r="C624" t="s">
        <v>35</v>
      </c>
      <c r="D624" t="s">
        <v>10</v>
      </c>
      <c r="E624" t="s">
        <v>11</v>
      </c>
      <c r="F624" s="1">
        <v>9</v>
      </c>
      <c r="G624" s="1">
        <v>6987.33</v>
      </c>
      <c r="H624" s="1">
        <v>2092.1</v>
      </c>
    </row>
    <row r="625" spans="1:8" x14ac:dyDescent="0.25">
      <c r="A625" t="s">
        <v>651</v>
      </c>
      <c r="B625" s="2">
        <v>45934</v>
      </c>
      <c r="C625" t="s">
        <v>35</v>
      </c>
      <c r="D625" t="s">
        <v>48</v>
      </c>
      <c r="E625" t="s">
        <v>17</v>
      </c>
      <c r="F625" s="1">
        <v>9</v>
      </c>
      <c r="G625" s="1">
        <v>3147.38</v>
      </c>
      <c r="H625" s="1">
        <v>1011.49</v>
      </c>
    </row>
    <row r="626" spans="1:8" x14ac:dyDescent="0.25">
      <c r="A626" t="s">
        <v>652</v>
      </c>
      <c r="B626" s="2">
        <v>45806</v>
      </c>
      <c r="C626" t="s">
        <v>28</v>
      </c>
      <c r="D626" t="s">
        <v>55</v>
      </c>
      <c r="E626" t="s">
        <v>17</v>
      </c>
      <c r="F626" s="1">
        <v>7</v>
      </c>
      <c r="G626" s="1">
        <v>2147.62</v>
      </c>
      <c r="H626" s="1">
        <v>619.54</v>
      </c>
    </row>
    <row r="627" spans="1:8" x14ac:dyDescent="0.25">
      <c r="A627" t="s">
        <v>653</v>
      </c>
      <c r="B627" s="2">
        <v>45663</v>
      </c>
      <c r="C627" t="s">
        <v>28</v>
      </c>
      <c r="D627" t="s">
        <v>23</v>
      </c>
      <c r="E627" t="s">
        <v>14</v>
      </c>
      <c r="F627" s="1">
        <v>9</v>
      </c>
      <c r="G627" s="1">
        <v>1387.23</v>
      </c>
      <c r="H627" s="1">
        <v>247.27</v>
      </c>
    </row>
    <row r="628" spans="1:8" x14ac:dyDescent="0.25">
      <c r="A628" t="s">
        <v>654</v>
      </c>
      <c r="B628" s="2">
        <v>45947</v>
      </c>
      <c r="C628" t="s">
        <v>28</v>
      </c>
      <c r="D628" t="s">
        <v>16</v>
      </c>
      <c r="E628" t="s">
        <v>17</v>
      </c>
      <c r="F628" s="1">
        <v>3</v>
      </c>
      <c r="G628" s="1">
        <v>1689.46</v>
      </c>
      <c r="H628" s="1">
        <v>216.87</v>
      </c>
    </row>
    <row r="629" spans="1:8" x14ac:dyDescent="0.25">
      <c r="A629" t="s">
        <v>655</v>
      </c>
      <c r="B629" s="2">
        <v>45690</v>
      </c>
      <c r="C629" t="s">
        <v>22</v>
      </c>
      <c r="D629" t="s">
        <v>57</v>
      </c>
      <c r="E629" t="s">
        <v>14</v>
      </c>
      <c r="F629" s="1">
        <v>1</v>
      </c>
      <c r="G629" s="1">
        <v>301.64</v>
      </c>
      <c r="H629" s="1">
        <v>63.85</v>
      </c>
    </row>
    <row r="630" spans="1:8" x14ac:dyDescent="0.25">
      <c r="A630" t="s">
        <v>656</v>
      </c>
      <c r="B630" s="2">
        <v>45842</v>
      </c>
      <c r="C630" t="s">
        <v>35</v>
      </c>
      <c r="D630" t="s">
        <v>33</v>
      </c>
      <c r="E630" t="s">
        <v>26</v>
      </c>
      <c r="F630" s="1">
        <v>1</v>
      </c>
      <c r="G630" s="1">
        <v>818.87</v>
      </c>
      <c r="H630" s="1">
        <v>180.01</v>
      </c>
    </row>
    <row r="631" spans="1:8" x14ac:dyDescent="0.25">
      <c r="A631" t="s">
        <v>657</v>
      </c>
      <c r="B631" s="2">
        <v>45710</v>
      </c>
      <c r="C631" t="s">
        <v>22</v>
      </c>
      <c r="D631" t="s">
        <v>57</v>
      </c>
      <c r="E631" t="s">
        <v>14</v>
      </c>
      <c r="F631" s="1">
        <v>1</v>
      </c>
      <c r="G631" s="1">
        <v>95.89</v>
      </c>
      <c r="H631" s="1">
        <v>24.46</v>
      </c>
    </row>
    <row r="632" spans="1:8" x14ac:dyDescent="0.25">
      <c r="A632" t="s">
        <v>658</v>
      </c>
      <c r="B632" s="2">
        <v>45851</v>
      </c>
      <c r="C632" t="s">
        <v>22</v>
      </c>
      <c r="D632" t="s">
        <v>25</v>
      </c>
      <c r="E632" t="s">
        <v>26</v>
      </c>
      <c r="F632" s="1">
        <v>9</v>
      </c>
      <c r="G632" s="1">
        <v>6351.16</v>
      </c>
      <c r="H632" s="1">
        <v>1153.99</v>
      </c>
    </row>
    <row r="633" spans="1:8" x14ac:dyDescent="0.25">
      <c r="A633" t="s">
        <v>659</v>
      </c>
      <c r="B633" s="2">
        <v>45922</v>
      </c>
      <c r="C633" t="s">
        <v>35</v>
      </c>
      <c r="D633" t="s">
        <v>41</v>
      </c>
      <c r="E633" t="s">
        <v>11</v>
      </c>
      <c r="F633" s="1">
        <v>5</v>
      </c>
      <c r="G633" s="1">
        <v>2413.89</v>
      </c>
      <c r="H633" s="1">
        <v>784.41</v>
      </c>
    </row>
    <row r="634" spans="1:8" x14ac:dyDescent="0.25">
      <c r="A634" t="s">
        <v>660</v>
      </c>
      <c r="B634" s="2">
        <v>45661</v>
      </c>
      <c r="C634" t="s">
        <v>28</v>
      </c>
      <c r="D634" t="s">
        <v>30</v>
      </c>
      <c r="E634" t="s">
        <v>26</v>
      </c>
      <c r="F634" s="1">
        <v>8</v>
      </c>
      <c r="G634" s="1">
        <v>7692.45</v>
      </c>
      <c r="H634" s="1">
        <v>2458.02</v>
      </c>
    </row>
    <row r="635" spans="1:8" x14ac:dyDescent="0.25">
      <c r="A635" t="s">
        <v>661</v>
      </c>
      <c r="B635" s="2">
        <v>45766</v>
      </c>
      <c r="C635" t="s">
        <v>28</v>
      </c>
      <c r="D635" t="s">
        <v>13</v>
      </c>
      <c r="E635" t="s">
        <v>14</v>
      </c>
      <c r="F635" s="1">
        <v>4</v>
      </c>
      <c r="G635" s="1">
        <v>554.61</v>
      </c>
      <c r="H635" s="1">
        <v>140.72999999999999</v>
      </c>
    </row>
    <row r="636" spans="1:8" x14ac:dyDescent="0.25">
      <c r="A636" t="s">
        <v>662</v>
      </c>
      <c r="B636" s="2">
        <v>45996</v>
      </c>
      <c r="C636" t="s">
        <v>28</v>
      </c>
      <c r="D636" t="s">
        <v>48</v>
      </c>
      <c r="E636" t="s">
        <v>17</v>
      </c>
      <c r="F636" s="1">
        <v>6</v>
      </c>
      <c r="G636" s="1">
        <v>4453.9399999999996</v>
      </c>
      <c r="H636" s="1">
        <v>1338.76</v>
      </c>
    </row>
    <row r="637" spans="1:8" x14ac:dyDescent="0.25">
      <c r="A637" t="s">
        <v>663</v>
      </c>
      <c r="B637" s="2">
        <v>45765</v>
      </c>
      <c r="C637" t="s">
        <v>28</v>
      </c>
      <c r="D637" t="s">
        <v>57</v>
      </c>
      <c r="E637" t="s">
        <v>14</v>
      </c>
      <c r="F637" s="1">
        <v>2</v>
      </c>
      <c r="G637" s="1">
        <v>1207.49</v>
      </c>
      <c r="H637" s="1">
        <v>252.7</v>
      </c>
    </row>
    <row r="638" spans="1:8" x14ac:dyDescent="0.25">
      <c r="A638" t="s">
        <v>664</v>
      </c>
      <c r="B638" s="2">
        <v>45740</v>
      </c>
      <c r="C638" t="s">
        <v>28</v>
      </c>
      <c r="D638" t="s">
        <v>13</v>
      </c>
      <c r="E638" t="s">
        <v>14</v>
      </c>
      <c r="F638" s="1">
        <v>4</v>
      </c>
      <c r="G638" s="1">
        <v>398.46</v>
      </c>
      <c r="H638" s="1">
        <v>93.57</v>
      </c>
    </row>
    <row r="639" spans="1:8" x14ac:dyDescent="0.25">
      <c r="A639" t="s">
        <v>665</v>
      </c>
      <c r="B639" s="2">
        <v>45750</v>
      </c>
      <c r="C639" t="s">
        <v>35</v>
      </c>
      <c r="D639" t="s">
        <v>41</v>
      </c>
      <c r="E639" t="s">
        <v>11</v>
      </c>
      <c r="F639" s="1">
        <v>3</v>
      </c>
      <c r="G639" s="1">
        <v>342.9</v>
      </c>
      <c r="H639" s="1">
        <v>51.34</v>
      </c>
    </row>
    <row r="640" spans="1:8" x14ac:dyDescent="0.25">
      <c r="A640" t="s">
        <v>666</v>
      </c>
      <c r="B640" s="2">
        <v>45968</v>
      </c>
      <c r="C640" t="s">
        <v>35</v>
      </c>
      <c r="D640" t="s">
        <v>41</v>
      </c>
      <c r="E640" t="s">
        <v>11</v>
      </c>
      <c r="F640" s="1">
        <v>5</v>
      </c>
      <c r="G640" s="1">
        <v>5696.71</v>
      </c>
      <c r="H640" s="1">
        <v>788.88</v>
      </c>
    </row>
    <row r="641" spans="1:8" x14ac:dyDescent="0.25">
      <c r="A641" t="s">
        <v>667</v>
      </c>
      <c r="B641" s="2">
        <v>45956</v>
      </c>
      <c r="C641" t="s">
        <v>28</v>
      </c>
      <c r="D641" t="s">
        <v>13</v>
      </c>
      <c r="E641" t="s">
        <v>14</v>
      </c>
      <c r="F641" s="1">
        <v>4</v>
      </c>
      <c r="G641" s="1">
        <v>4019.67</v>
      </c>
      <c r="H641" s="1">
        <v>973.67</v>
      </c>
    </row>
    <row r="642" spans="1:8" x14ac:dyDescent="0.25">
      <c r="A642" t="s">
        <v>668</v>
      </c>
      <c r="B642" s="2">
        <v>45693</v>
      </c>
      <c r="C642" t="s">
        <v>28</v>
      </c>
      <c r="D642" t="s">
        <v>33</v>
      </c>
      <c r="E642" t="s">
        <v>26</v>
      </c>
      <c r="F642" s="1">
        <v>6</v>
      </c>
      <c r="G642" s="1">
        <v>6664.23</v>
      </c>
      <c r="H642" s="1">
        <v>1606.51</v>
      </c>
    </row>
    <row r="643" spans="1:8" x14ac:dyDescent="0.25">
      <c r="A643" t="s">
        <v>669</v>
      </c>
      <c r="B643" s="2">
        <v>45916</v>
      </c>
      <c r="C643" t="s">
        <v>35</v>
      </c>
      <c r="D643" t="s">
        <v>57</v>
      </c>
      <c r="E643" t="s">
        <v>14</v>
      </c>
      <c r="F643" s="1">
        <v>3</v>
      </c>
      <c r="G643" s="1">
        <v>524.57000000000005</v>
      </c>
      <c r="H643" s="1">
        <v>70.63</v>
      </c>
    </row>
    <row r="644" spans="1:8" x14ac:dyDescent="0.25">
      <c r="A644" t="s">
        <v>670</v>
      </c>
      <c r="B644" s="2">
        <v>45965</v>
      </c>
      <c r="C644" t="s">
        <v>9</v>
      </c>
      <c r="D644" t="s">
        <v>16</v>
      </c>
      <c r="E644" t="s">
        <v>17</v>
      </c>
      <c r="F644" s="1">
        <v>2</v>
      </c>
      <c r="G644" s="1">
        <v>508.07</v>
      </c>
      <c r="H644" s="1">
        <v>164.33</v>
      </c>
    </row>
    <row r="645" spans="1:8" x14ac:dyDescent="0.25">
      <c r="A645" t="s">
        <v>671</v>
      </c>
      <c r="B645" s="2">
        <v>45934</v>
      </c>
      <c r="C645" t="s">
        <v>9</v>
      </c>
      <c r="D645" t="s">
        <v>10</v>
      </c>
      <c r="E645" t="s">
        <v>11</v>
      </c>
      <c r="F645" s="1">
        <v>8</v>
      </c>
      <c r="G645" s="1">
        <v>6466.41</v>
      </c>
      <c r="H645" s="1">
        <v>2092.12</v>
      </c>
    </row>
    <row r="646" spans="1:8" x14ac:dyDescent="0.25">
      <c r="A646" t="s">
        <v>672</v>
      </c>
      <c r="B646" s="2">
        <v>45929</v>
      </c>
      <c r="C646" t="s">
        <v>35</v>
      </c>
      <c r="D646" t="s">
        <v>23</v>
      </c>
      <c r="E646" t="s">
        <v>14</v>
      </c>
      <c r="F646" s="1">
        <v>7</v>
      </c>
      <c r="G646" s="1">
        <v>3331.54</v>
      </c>
      <c r="H646" s="1">
        <v>305.60000000000002</v>
      </c>
    </row>
    <row r="647" spans="1:8" x14ac:dyDescent="0.25">
      <c r="A647" t="s">
        <v>673</v>
      </c>
      <c r="B647" s="2">
        <v>46014</v>
      </c>
      <c r="C647" t="s">
        <v>9</v>
      </c>
      <c r="D647" t="s">
        <v>55</v>
      </c>
      <c r="E647" t="s">
        <v>17</v>
      </c>
      <c r="F647" s="1">
        <v>7</v>
      </c>
      <c r="G647" s="1">
        <v>3171.67</v>
      </c>
      <c r="H647" s="1">
        <v>942.77</v>
      </c>
    </row>
    <row r="648" spans="1:8" x14ac:dyDescent="0.25">
      <c r="A648" t="s">
        <v>674</v>
      </c>
      <c r="B648" s="2">
        <v>45700</v>
      </c>
      <c r="C648" t="s">
        <v>22</v>
      </c>
      <c r="D648" t="s">
        <v>13</v>
      </c>
      <c r="E648" t="s">
        <v>14</v>
      </c>
      <c r="F648" s="1">
        <v>5</v>
      </c>
      <c r="G648" s="1">
        <v>2993.56</v>
      </c>
      <c r="H648" s="1">
        <v>427.42</v>
      </c>
    </row>
    <row r="649" spans="1:8" x14ac:dyDescent="0.25">
      <c r="A649" t="s">
        <v>675</v>
      </c>
      <c r="B649" s="2">
        <v>45661</v>
      </c>
      <c r="C649" t="s">
        <v>9</v>
      </c>
      <c r="D649" t="s">
        <v>57</v>
      </c>
      <c r="E649" t="s">
        <v>14</v>
      </c>
      <c r="F649" s="1">
        <v>4</v>
      </c>
      <c r="G649" s="1">
        <v>225.16</v>
      </c>
      <c r="H649" s="1">
        <v>63.22</v>
      </c>
    </row>
    <row r="650" spans="1:8" x14ac:dyDescent="0.25">
      <c r="A650" t="s">
        <v>676</v>
      </c>
      <c r="B650" s="2">
        <v>45843</v>
      </c>
      <c r="C650" t="s">
        <v>9</v>
      </c>
      <c r="D650" t="s">
        <v>20</v>
      </c>
      <c r="E650" t="s">
        <v>11</v>
      </c>
      <c r="F650" s="1">
        <v>4</v>
      </c>
      <c r="G650" s="1">
        <v>3363.73</v>
      </c>
      <c r="H650" s="1">
        <v>556</v>
      </c>
    </row>
    <row r="651" spans="1:8" x14ac:dyDescent="0.25">
      <c r="A651" t="s">
        <v>677</v>
      </c>
      <c r="B651" s="2">
        <v>45874</v>
      </c>
      <c r="C651" t="s">
        <v>22</v>
      </c>
      <c r="D651" t="s">
        <v>55</v>
      </c>
      <c r="E651" t="s">
        <v>17</v>
      </c>
      <c r="F651" s="1">
        <v>10</v>
      </c>
      <c r="G651" s="1">
        <v>3416.78</v>
      </c>
      <c r="H651" s="1">
        <v>1062.08</v>
      </c>
    </row>
    <row r="652" spans="1:8" x14ac:dyDescent="0.25">
      <c r="A652" t="s">
        <v>678</v>
      </c>
      <c r="B652" s="2">
        <v>45943</v>
      </c>
      <c r="C652" t="s">
        <v>35</v>
      </c>
      <c r="D652" t="s">
        <v>25</v>
      </c>
      <c r="E652" t="s">
        <v>26</v>
      </c>
      <c r="F652" s="1">
        <v>7</v>
      </c>
      <c r="G652" s="1">
        <v>6427.52</v>
      </c>
      <c r="H652" s="1">
        <v>1231.33</v>
      </c>
    </row>
    <row r="653" spans="1:8" x14ac:dyDescent="0.25">
      <c r="A653" t="s">
        <v>679</v>
      </c>
      <c r="B653" s="2">
        <v>45815</v>
      </c>
      <c r="C653" t="s">
        <v>22</v>
      </c>
      <c r="D653" t="s">
        <v>55</v>
      </c>
      <c r="E653" t="s">
        <v>17</v>
      </c>
      <c r="F653" s="1">
        <v>9</v>
      </c>
      <c r="G653" s="1">
        <v>6193.33</v>
      </c>
      <c r="H653" s="1">
        <v>919.83</v>
      </c>
    </row>
    <row r="654" spans="1:8" x14ac:dyDescent="0.25">
      <c r="A654" t="s">
        <v>680</v>
      </c>
      <c r="B654" s="2">
        <v>45775</v>
      </c>
      <c r="C654" t="s">
        <v>35</v>
      </c>
      <c r="D654" t="s">
        <v>23</v>
      </c>
      <c r="E654" t="s">
        <v>14</v>
      </c>
      <c r="F654" s="1">
        <v>3</v>
      </c>
      <c r="G654" s="1">
        <v>3099.75</v>
      </c>
      <c r="H654" s="1">
        <v>799.76</v>
      </c>
    </row>
    <row r="655" spans="1:8" x14ac:dyDescent="0.25">
      <c r="A655" t="s">
        <v>681</v>
      </c>
      <c r="B655" s="2">
        <v>45939</v>
      </c>
      <c r="C655" t="s">
        <v>9</v>
      </c>
      <c r="D655" t="s">
        <v>48</v>
      </c>
      <c r="E655" t="s">
        <v>17</v>
      </c>
      <c r="F655" s="1">
        <v>4</v>
      </c>
      <c r="G655" s="1">
        <v>2538.38</v>
      </c>
      <c r="H655" s="1">
        <v>741.82</v>
      </c>
    </row>
    <row r="656" spans="1:8" x14ac:dyDescent="0.25">
      <c r="A656" t="s">
        <v>682</v>
      </c>
      <c r="B656" s="2">
        <v>45899</v>
      </c>
      <c r="C656" t="s">
        <v>35</v>
      </c>
      <c r="D656" t="s">
        <v>55</v>
      </c>
      <c r="E656" t="s">
        <v>17</v>
      </c>
      <c r="F656" s="1">
        <v>1</v>
      </c>
      <c r="G656" s="1">
        <v>975.02</v>
      </c>
      <c r="H656" s="1">
        <v>294.73</v>
      </c>
    </row>
    <row r="657" spans="1:8" x14ac:dyDescent="0.25">
      <c r="A657" t="s">
        <v>683</v>
      </c>
      <c r="B657" s="2">
        <v>45677</v>
      </c>
      <c r="C657" t="s">
        <v>35</v>
      </c>
      <c r="D657" t="s">
        <v>10</v>
      </c>
      <c r="E657" t="s">
        <v>11</v>
      </c>
      <c r="F657" s="1">
        <v>5</v>
      </c>
      <c r="G657" s="1">
        <v>1525.18</v>
      </c>
      <c r="H657" s="1">
        <v>154.97</v>
      </c>
    </row>
    <row r="658" spans="1:8" x14ac:dyDescent="0.25">
      <c r="A658" t="s">
        <v>684</v>
      </c>
      <c r="B658" s="2">
        <v>45687</v>
      </c>
      <c r="C658" t="s">
        <v>28</v>
      </c>
      <c r="D658" t="s">
        <v>23</v>
      </c>
      <c r="E658" t="s">
        <v>14</v>
      </c>
      <c r="F658" s="1">
        <v>9</v>
      </c>
      <c r="G658" s="1">
        <v>3414.96</v>
      </c>
      <c r="H658" s="1">
        <v>1161.6099999999999</v>
      </c>
    </row>
    <row r="659" spans="1:8" x14ac:dyDescent="0.25">
      <c r="A659" t="s">
        <v>685</v>
      </c>
      <c r="B659" s="2">
        <v>45923</v>
      </c>
      <c r="C659" t="s">
        <v>22</v>
      </c>
      <c r="D659" t="s">
        <v>57</v>
      </c>
      <c r="E659" t="s">
        <v>14</v>
      </c>
      <c r="F659" s="1">
        <v>1</v>
      </c>
      <c r="G659" s="1">
        <v>281.95999999999998</v>
      </c>
      <c r="H659" s="1">
        <v>72.56</v>
      </c>
    </row>
    <row r="660" spans="1:8" x14ac:dyDescent="0.25">
      <c r="A660" t="s">
        <v>686</v>
      </c>
      <c r="B660" s="2">
        <v>45972</v>
      </c>
      <c r="C660" t="s">
        <v>28</v>
      </c>
      <c r="D660" t="s">
        <v>48</v>
      </c>
      <c r="E660" t="s">
        <v>17</v>
      </c>
      <c r="F660" s="1">
        <v>10</v>
      </c>
      <c r="G660" s="1">
        <v>6371.3</v>
      </c>
      <c r="H660" s="1">
        <v>1711.21</v>
      </c>
    </row>
    <row r="661" spans="1:8" x14ac:dyDescent="0.25">
      <c r="A661" t="s">
        <v>687</v>
      </c>
      <c r="B661" s="2">
        <v>45702</v>
      </c>
      <c r="C661" t="s">
        <v>22</v>
      </c>
      <c r="D661" t="s">
        <v>20</v>
      </c>
      <c r="E661" t="s">
        <v>11</v>
      </c>
      <c r="F661" s="1">
        <v>4</v>
      </c>
      <c r="G661" s="1">
        <v>3213.09</v>
      </c>
      <c r="H661" s="1">
        <v>1103.45</v>
      </c>
    </row>
    <row r="662" spans="1:8" x14ac:dyDescent="0.25">
      <c r="A662" t="s">
        <v>688</v>
      </c>
      <c r="B662" s="2">
        <v>45665</v>
      </c>
      <c r="C662" t="s">
        <v>9</v>
      </c>
      <c r="D662" t="s">
        <v>57</v>
      </c>
      <c r="E662" t="s">
        <v>14</v>
      </c>
      <c r="F662" s="1">
        <v>7</v>
      </c>
      <c r="G662" s="1">
        <v>3613.88</v>
      </c>
      <c r="H662" s="1">
        <v>484.56</v>
      </c>
    </row>
    <row r="663" spans="1:8" x14ac:dyDescent="0.25">
      <c r="A663" t="s">
        <v>689</v>
      </c>
      <c r="B663" s="2">
        <v>45956</v>
      </c>
      <c r="C663" t="s">
        <v>22</v>
      </c>
      <c r="D663" t="s">
        <v>41</v>
      </c>
      <c r="E663" t="s">
        <v>11</v>
      </c>
      <c r="F663" s="1">
        <v>5</v>
      </c>
      <c r="G663" s="1">
        <v>4425.3</v>
      </c>
      <c r="H663" s="1">
        <v>1022.07</v>
      </c>
    </row>
    <row r="664" spans="1:8" x14ac:dyDescent="0.25">
      <c r="A664" t="s">
        <v>690</v>
      </c>
      <c r="B664" s="2">
        <v>45864</v>
      </c>
      <c r="C664" t="s">
        <v>9</v>
      </c>
      <c r="D664" t="s">
        <v>30</v>
      </c>
      <c r="E664" t="s">
        <v>26</v>
      </c>
      <c r="F664" s="1">
        <v>4</v>
      </c>
      <c r="G664" s="1">
        <v>2989.27</v>
      </c>
      <c r="H664" s="1">
        <v>396.14</v>
      </c>
    </row>
    <row r="665" spans="1:8" x14ac:dyDescent="0.25">
      <c r="A665" t="s">
        <v>691</v>
      </c>
      <c r="B665" s="2">
        <v>45915</v>
      </c>
      <c r="C665" t="s">
        <v>22</v>
      </c>
      <c r="D665" t="s">
        <v>33</v>
      </c>
      <c r="E665" t="s">
        <v>26</v>
      </c>
      <c r="F665" s="1">
        <v>7</v>
      </c>
      <c r="G665" s="1">
        <v>4425.22</v>
      </c>
      <c r="H665" s="1">
        <v>1021.47</v>
      </c>
    </row>
    <row r="666" spans="1:8" x14ac:dyDescent="0.25">
      <c r="A666" t="s">
        <v>692</v>
      </c>
      <c r="B666" s="2">
        <v>45952</v>
      </c>
      <c r="C666" t="s">
        <v>22</v>
      </c>
      <c r="D666" t="s">
        <v>33</v>
      </c>
      <c r="E666" t="s">
        <v>26</v>
      </c>
      <c r="F666" s="1">
        <v>9</v>
      </c>
      <c r="G666" s="1">
        <v>10351.94</v>
      </c>
      <c r="H666" s="1">
        <v>3276.91</v>
      </c>
    </row>
    <row r="667" spans="1:8" x14ac:dyDescent="0.25">
      <c r="A667" t="s">
        <v>693</v>
      </c>
      <c r="B667" s="2">
        <v>45831</v>
      </c>
      <c r="C667" t="s">
        <v>35</v>
      </c>
      <c r="D667" t="s">
        <v>57</v>
      </c>
      <c r="E667" t="s">
        <v>14</v>
      </c>
      <c r="F667" s="1">
        <v>10</v>
      </c>
      <c r="G667" s="1">
        <v>6061.74</v>
      </c>
      <c r="H667" s="1">
        <v>883.1</v>
      </c>
    </row>
    <row r="668" spans="1:8" x14ac:dyDescent="0.25">
      <c r="A668" t="s">
        <v>694</v>
      </c>
      <c r="B668" s="2">
        <v>45853</v>
      </c>
      <c r="C668" t="s">
        <v>28</v>
      </c>
      <c r="D668" t="s">
        <v>23</v>
      </c>
      <c r="E668" t="s">
        <v>14</v>
      </c>
      <c r="F668" s="1">
        <v>1</v>
      </c>
      <c r="G668" s="1">
        <v>604.27</v>
      </c>
      <c r="H668" s="1">
        <v>90.41</v>
      </c>
    </row>
    <row r="669" spans="1:8" x14ac:dyDescent="0.25">
      <c r="A669" t="s">
        <v>695</v>
      </c>
      <c r="B669" s="2">
        <v>45662</v>
      </c>
      <c r="C669" t="s">
        <v>22</v>
      </c>
      <c r="D669" t="s">
        <v>55</v>
      </c>
      <c r="E669" t="s">
        <v>17</v>
      </c>
      <c r="F669" s="1">
        <v>7</v>
      </c>
      <c r="G669" s="1">
        <v>8041.34</v>
      </c>
      <c r="H669" s="1">
        <v>1764.72</v>
      </c>
    </row>
    <row r="670" spans="1:8" x14ac:dyDescent="0.25">
      <c r="A670" t="s">
        <v>696</v>
      </c>
      <c r="B670" s="2">
        <v>45833</v>
      </c>
      <c r="C670" t="s">
        <v>9</v>
      </c>
      <c r="D670" t="s">
        <v>55</v>
      </c>
      <c r="E670" t="s">
        <v>17</v>
      </c>
      <c r="F670" s="1">
        <v>2</v>
      </c>
      <c r="G670" s="1">
        <v>1017.54</v>
      </c>
      <c r="H670" s="1">
        <v>287.12</v>
      </c>
    </row>
    <row r="671" spans="1:8" x14ac:dyDescent="0.25">
      <c r="A671" t="s">
        <v>697</v>
      </c>
      <c r="B671" s="2">
        <v>45795</v>
      </c>
      <c r="C671" t="s">
        <v>28</v>
      </c>
      <c r="D671" t="s">
        <v>55</v>
      </c>
      <c r="E671" t="s">
        <v>17</v>
      </c>
      <c r="F671" s="1">
        <v>6</v>
      </c>
      <c r="G671" s="1">
        <v>2739.41</v>
      </c>
      <c r="H671" s="1">
        <v>880.63</v>
      </c>
    </row>
    <row r="672" spans="1:8" x14ac:dyDescent="0.25">
      <c r="A672" t="s">
        <v>698</v>
      </c>
      <c r="B672" s="2">
        <v>45793</v>
      </c>
      <c r="C672" t="s">
        <v>28</v>
      </c>
      <c r="D672" t="s">
        <v>55</v>
      </c>
      <c r="E672" t="s">
        <v>17</v>
      </c>
      <c r="F672" s="1">
        <v>4</v>
      </c>
      <c r="G672" s="1">
        <v>1280.3599999999999</v>
      </c>
      <c r="H672" s="1">
        <v>186.11</v>
      </c>
    </row>
    <row r="673" spans="1:8" x14ac:dyDescent="0.25">
      <c r="A673" t="s">
        <v>699</v>
      </c>
      <c r="B673" s="2">
        <v>45712</v>
      </c>
      <c r="C673" t="s">
        <v>9</v>
      </c>
      <c r="D673" t="s">
        <v>48</v>
      </c>
      <c r="E673" t="s">
        <v>17</v>
      </c>
      <c r="F673" s="1">
        <v>4</v>
      </c>
      <c r="G673" s="1">
        <v>4047.14</v>
      </c>
      <c r="H673" s="1">
        <v>712.81</v>
      </c>
    </row>
    <row r="674" spans="1:8" x14ac:dyDescent="0.25">
      <c r="A674" t="s">
        <v>700</v>
      </c>
      <c r="B674" s="2">
        <v>45935</v>
      </c>
      <c r="C674" t="s">
        <v>9</v>
      </c>
      <c r="D674" t="s">
        <v>41</v>
      </c>
      <c r="E674" t="s">
        <v>11</v>
      </c>
      <c r="F674" s="1">
        <v>8</v>
      </c>
      <c r="G674" s="1">
        <v>6047.21</v>
      </c>
      <c r="H674" s="1">
        <v>1731.59</v>
      </c>
    </row>
    <row r="675" spans="1:8" x14ac:dyDescent="0.25">
      <c r="A675" t="s">
        <v>701</v>
      </c>
      <c r="B675" s="2">
        <v>45952</v>
      </c>
      <c r="C675" t="s">
        <v>22</v>
      </c>
      <c r="D675" t="s">
        <v>57</v>
      </c>
      <c r="E675" t="s">
        <v>14</v>
      </c>
      <c r="F675" s="1">
        <v>10</v>
      </c>
      <c r="G675" s="1">
        <v>4127.29</v>
      </c>
      <c r="H675" s="1">
        <v>1331.02</v>
      </c>
    </row>
    <row r="676" spans="1:8" x14ac:dyDescent="0.25">
      <c r="A676" t="s">
        <v>702</v>
      </c>
      <c r="B676" s="2">
        <v>45953</v>
      </c>
      <c r="C676" t="s">
        <v>28</v>
      </c>
      <c r="D676" t="s">
        <v>13</v>
      </c>
      <c r="E676" t="s">
        <v>14</v>
      </c>
      <c r="F676" s="1">
        <v>9</v>
      </c>
      <c r="G676" s="1">
        <v>3350.76</v>
      </c>
      <c r="H676" s="1">
        <v>468.99</v>
      </c>
    </row>
    <row r="677" spans="1:8" x14ac:dyDescent="0.25">
      <c r="A677" t="s">
        <v>703</v>
      </c>
      <c r="B677" s="2">
        <v>45915</v>
      </c>
      <c r="C677" t="s">
        <v>22</v>
      </c>
      <c r="D677" t="s">
        <v>41</v>
      </c>
      <c r="E677" t="s">
        <v>11</v>
      </c>
      <c r="F677" s="1">
        <v>7</v>
      </c>
      <c r="G677" s="1">
        <v>4200.4799999999996</v>
      </c>
      <c r="H677" s="1">
        <v>949.34</v>
      </c>
    </row>
    <row r="678" spans="1:8" x14ac:dyDescent="0.25">
      <c r="A678" t="s">
        <v>704</v>
      </c>
      <c r="B678" s="2">
        <v>45923</v>
      </c>
      <c r="C678" t="s">
        <v>35</v>
      </c>
      <c r="D678" t="s">
        <v>23</v>
      </c>
      <c r="E678" t="s">
        <v>14</v>
      </c>
      <c r="F678" s="1">
        <v>3</v>
      </c>
      <c r="G678" s="1">
        <v>1727.33</v>
      </c>
      <c r="H678" s="1">
        <v>194.32</v>
      </c>
    </row>
    <row r="679" spans="1:8" x14ac:dyDescent="0.25">
      <c r="A679" t="s">
        <v>705</v>
      </c>
      <c r="B679" s="2">
        <v>45955</v>
      </c>
      <c r="C679" t="s">
        <v>9</v>
      </c>
      <c r="D679" t="s">
        <v>25</v>
      </c>
      <c r="E679" t="s">
        <v>26</v>
      </c>
      <c r="F679" s="1">
        <v>1</v>
      </c>
      <c r="G679" s="1">
        <v>63.59</v>
      </c>
      <c r="H679" s="1">
        <v>8.7100000000000009</v>
      </c>
    </row>
    <row r="680" spans="1:8" x14ac:dyDescent="0.25">
      <c r="A680" t="s">
        <v>706</v>
      </c>
      <c r="B680" s="2">
        <v>45792</v>
      </c>
      <c r="C680" t="s">
        <v>28</v>
      </c>
      <c r="D680" t="s">
        <v>30</v>
      </c>
      <c r="E680" t="s">
        <v>26</v>
      </c>
      <c r="F680" s="1">
        <v>10</v>
      </c>
      <c r="G680" s="1">
        <v>10411.18</v>
      </c>
      <c r="H680" s="1">
        <v>1358.98</v>
      </c>
    </row>
    <row r="681" spans="1:8" x14ac:dyDescent="0.25">
      <c r="A681" t="s">
        <v>707</v>
      </c>
      <c r="B681" s="2">
        <v>45875</v>
      </c>
      <c r="C681" t="s">
        <v>28</v>
      </c>
      <c r="D681" t="s">
        <v>30</v>
      </c>
      <c r="E681" t="s">
        <v>26</v>
      </c>
      <c r="F681" s="1">
        <v>10</v>
      </c>
      <c r="G681" s="1">
        <v>4445.6099999999997</v>
      </c>
      <c r="H681" s="1">
        <v>576.4</v>
      </c>
    </row>
    <row r="682" spans="1:8" x14ac:dyDescent="0.25">
      <c r="A682" t="s">
        <v>708</v>
      </c>
      <c r="B682" s="2">
        <v>45888</v>
      </c>
      <c r="C682" t="s">
        <v>28</v>
      </c>
      <c r="D682" t="s">
        <v>23</v>
      </c>
      <c r="E682" t="s">
        <v>14</v>
      </c>
      <c r="F682" s="1">
        <v>6</v>
      </c>
      <c r="G682" s="1">
        <v>2819.04</v>
      </c>
      <c r="H682" s="1">
        <v>530.42999999999995</v>
      </c>
    </row>
    <row r="683" spans="1:8" x14ac:dyDescent="0.25">
      <c r="A683" t="s">
        <v>709</v>
      </c>
      <c r="B683" s="2">
        <v>45778</v>
      </c>
      <c r="C683" t="s">
        <v>35</v>
      </c>
      <c r="D683" t="s">
        <v>16</v>
      </c>
      <c r="E683" t="s">
        <v>17</v>
      </c>
      <c r="F683" s="1">
        <v>4</v>
      </c>
      <c r="G683" s="1">
        <v>3945.28</v>
      </c>
      <c r="H683" s="1">
        <v>1083.45</v>
      </c>
    </row>
    <row r="684" spans="1:8" x14ac:dyDescent="0.25">
      <c r="A684" t="s">
        <v>710</v>
      </c>
      <c r="B684" s="2">
        <v>45900</v>
      </c>
      <c r="C684" t="s">
        <v>9</v>
      </c>
      <c r="D684" t="s">
        <v>13</v>
      </c>
      <c r="E684" t="s">
        <v>14</v>
      </c>
      <c r="F684" s="1">
        <v>3</v>
      </c>
      <c r="G684" s="1">
        <v>2910.13</v>
      </c>
      <c r="H684" s="1">
        <v>813.11</v>
      </c>
    </row>
    <row r="685" spans="1:8" x14ac:dyDescent="0.25">
      <c r="A685" t="s">
        <v>711</v>
      </c>
      <c r="B685" s="2">
        <v>45980</v>
      </c>
      <c r="C685" t="s">
        <v>22</v>
      </c>
      <c r="D685" t="s">
        <v>55</v>
      </c>
      <c r="E685" t="s">
        <v>17</v>
      </c>
      <c r="F685" s="1">
        <v>8</v>
      </c>
      <c r="G685" s="1">
        <v>1637.14</v>
      </c>
      <c r="H685" s="1">
        <v>525.82000000000005</v>
      </c>
    </row>
    <row r="686" spans="1:8" x14ac:dyDescent="0.25">
      <c r="A686" t="s">
        <v>712</v>
      </c>
      <c r="B686" s="2">
        <v>45861</v>
      </c>
      <c r="C686" t="s">
        <v>9</v>
      </c>
      <c r="D686" t="s">
        <v>57</v>
      </c>
      <c r="E686" t="s">
        <v>14</v>
      </c>
      <c r="F686" s="1">
        <v>5</v>
      </c>
      <c r="G686" s="1">
        <v>3482.3</v>
      </c>
      <c r="H686" s="1">
        <v>812.47</v>
      </c>
    </row>
    <row r="687" spans="1:8" x14ac:dyDescent="0.25">
      <c r="A687" t="s">
        <v>713</v>
      </c>
      <c r="B687" s="2">
        <v>45980</v>
      </c>
      <c r="C687" t="s">
        <v>9</v>
      </c>
      <c r="D687" t="s">
        <v>48</v>
      </c>
      <c r="E687" t="s">
        <v>17</v>
      </c>
      <c r="F687" s="1">
        <v>4</v>
      </c>
      <c r="G687" s="1">
        <v>3943.56</v>
      </c>
      <c r="H687" s="1">
        <v>822.89</v>
      </c>
    </row>
    <row r="688" spans="1:8" x14ac:dyDescent="0.25">
      <c r="A688" t="s">
        <v>714</v>
      </c>
      <c r="B688" s="2">
        <v>45943</v>
      </c>
      <c r="C688" t="s">
        <v>22</v>
      </c>
      <c r="D688" t="s">
        <v>23</v>
      </c>
      <c r="E688" t="s">
        <v>14</v>
      </c>
      <c r="F688" s="1">
        <v>6</v>
      </c>
      <c r="G688" s="1">
        <v>2092.41</v>
      </c>
      <c r="H688" s="1">
        <v>370.95</v>
      </c>
    </row>
    <row r="689" spans="1:8" x14ac:dyDescent="0.25">
      <c r="A689" t="s">
        <v>715</v>
      </c>
      <c r="B689" s="2">
        <v>45968</v>
      </c>
      <c r="C689" t="s">
        <v>28</v>
      </c>
      <c r="D689" t="s">
        <v>33</v>
      </c>
      <c r="E689" t="s">
        <v>26</v>
      </c>
      <c r="F689" s="1">
        <v>7</v>
      </c>
      <c r="G689" s="1">
        <v>1325.96</v>
      </c>
      <c r="H689" s="1">
        <v>416.6</v>
      </c>
    </row>
    <row r="690" spans="1:8" x14ac:dyDescent="0.25">
      <c r="A690" t="s">
        <v>716</v>
      </c>
      <c r="B690" s="2">
        <v>45886</v>
      </c>
      <c r="C690" t="s">
        <v>9</v>
      </c>
      <c r="D690" t="s">
        <v>55</v>
      </c>
      <c r="E690" t="s">
        <v>17</v>
      </c>
      <c r="F690" s="1">
        <v>6</v>
      </c>
      <c r="G690" s="1">
        <v>2543.12</v>
      </c>
      <c r="H690" s="1">
        <v>553.94000000000005</v>
      </c>
    </row>
    <row r="691" spans="1:8" x14ac:dyDescent="0.25">
      <c r="A691" t="s">
        <v>717</v>
      </c>
      <c r="B691" s="2">
        <v>45743</v>
      </c>
      <c r="C691" t="s">
        <v>22</v>
      </c>
      <c r="D691" t="s">
        <v>23</v>
      </c>
      <c r="E691" t="s">
        <v>14</v>
      </c>
      <c r="F691" s="1">
        <v>5</v>
      </c>
      <c r="G691" s="1">
        <v>2916.57</v>
      </c>
      <c r="H691" s="1">
        <v>986.62</v>
      </c>
    </row>
    <row r="692" spans="1:8" x14ac:dyDescent="0.25">
      <c r="A692" t="s">
        <v>718</v>
      </c>
      <c r="B692" s="2">
        <v>45694</v>
      </c>
      <c r="C692" t="s">
        <v>9</v>
      </c>
      <c r="D692" t="s">
        <v>23</v>
      </c>
      <c r="E692" t="s">
        <v>14</v>
      </c>
      <c r="F692" s="1">
        <v>10</v>
      </c>
      <c r="G692" s="1">
        <v>7073.83</v>
      </c>
      <c r="H692" s="1">
        <v>2187.25</v>
      </c>
    </row>
    <row r="693" spans="1:8" x14ac:dyDescent="0.25">
      <c r="A693" t="s">
        <v>719</v>
      </c>
      <c r="B693" s="2">
        <v>46021</v>
      </c>
      <c r="C693" t="s">
        <v>22</v>
      </c>
      <c r="D693" t="s">
        <v>55</v>
      </c>
      <c r="E693" t="s">
        <v>17</v>
      </c>
      <c r="F693" s="1">
        <v>4</v>
      </c>
      <c r="G693" s="1">
        <v>1642.02</v>
      </c>
      <c r="H693" s="1">
        <v>420.87</v>
      </c>
    </row>
    <row r="694" spans="1:8" x14ac:dyDescent="0.25">
      <c r="A694" t="s">
        <v>720</v>
      </c>
      <c r="B694" s="2">
        <v>45958</v>
      </c>
      <c r="C694" t="s">
        <v>35</v>
      </c>
      <c r="D694" t="s">
        <v>57</v>
      </c>
      <c r="E694" t="s">
        <v>14</v>
      </c>
      <c r="F694" s="1">
        <v>8</v>
      </c>
      <c r="G694" s="1">
        <v>7584.96</v>
      </c>
      <c r="H694" s="1">
        <v>2529.34</v>
      </c>
    </row>
    <row r="695" spans="1:8" x14ac:dyDescent="0.25">
      <c r="A695" t="s">
        <v>721</v>
      </c>
      <c r="B695" s="2">
        <v>45778</v>
      </c>
      <c r="C695" t="s">
        <v>22</v>
      </c>
      <c r="D695" t="s">
        <v>13</v>
      </c>
      <c r="E695" t="s">
        <v>14</v>
      </c>
      <c r="F695" s="1">
        <v>3</v>
      </c>
      <c r="G695" s="1">
        <v>3097.03</v>
      </c>
      <c r="H695" s="1">
        <v>352.32</v>
      </c>
    </row>
    <row r="696" spans="1:8" x14ac:dyDescent="0.25">
      <c r="A696" t="s">
        <v>722</v>
      </c>
      <c r="B696" s="2">
        <v>45900</v>
      </c>
      <c r="C696" t="s">
        <v>9</v>
      </c>
      <c r="D696" t="s">
        <v>10</v>
      </c>
      <c r="E696" t="s">
        <v>11</v>
      </c>
      <c r="F696" s="1">
        <v>3</v>
      </c>
      <c r="G696" s="1">
        <v>1519.81</v>
      </c>
      <c r="H696" s="1">
        <v>160.80000000000001</v>
      </c>
    </row>
    <row r="697" spans="1:8" x14ac:dyDescent="0.25">
      <c r="A697" t="s">
        <v>723</v>
      </c>
      <c r="B697" s="2">
        <v>45792</v>
      </c>
      <c r="C697" t="s">
        <v>28</v>
      </c>
      <c r="D697" t="s">
        <v>20</v>
      </c>
      <c r="E697" t="s">
        <v>11</v>
      </c>
      <c r="F697" s="1">
        <v>9</v>
      </c>
      <c r="G697" s="1">
        <v>8367.7099999999991</v>
      </c>
      <c r="H697" s="1">
        <v>857.5</v>
      </c>
    </row>
    <row r="698" spans="1:8" x14ac:dyDescent="0.25">
      <c r="A698" t="s">
        <v>724</v>
      </c>
      <c r="B698" s="2">
        <v>45803</v>
      </c>
      <c r="C698" t="s">
        <v>35</v>
      </c>
      <c r="D698" t="s">
        <v>41</v>
      </c>
      <c r="E698" t="s">
        <v>11</v>
      </c>
      <c r="F698" s="1">
        <v>7</v>
      </c>
      <c r="G698" s="1">
        <v>2840.43</v>
      </c>
      <c r="H698" s="1">
        <v>416.97</v>
      </c>
    </row>
    <row r="699" spans="1:8" x14ac:dyDescent="0.25">
      <c r="A699" t="s">
        <v>725</v>
      </c>
      <c r="B699" s="2">
        <v>45997</v>
      </c>
      <c r="C699" t="s">
        <v>22</v>
      </c>
      <c r="D699" t="s">
        <v>48</v>
      </c>
      <c r="E699" t="s">
        <v>17</v>
      </c>
      <c r="F699" s="1">
        <v>9</v>
      </c>
      <c r="G699" s="1">
        <v>9128.66</v>
      </c>
      <c r="H699" s="1">
        <v>800.71</v>
      </c>
    </row>
    <row r="700" spans="1:8" x14ac:dyDescent="0.25">
      <c r="A700" t="s">
        <v>726</v>
      </c>
      <c r="B700" s="2">
        <v>45797</v>
      </c>
      <c r="C700" t="s">
        <v>35</v>
      </c>
      <c r="D700" t="s">
        <v>30</v>
      </c>
      <c r="E700" t="s">
        <v>26</v>
      </c>
      <c r="F700" s="1">
        <v>8</v>
      </c>
      <c r="G700" s="1">
        <v>9369.83</v>
      </c>
      <c r="H700" s="1">
        <v>2117.19</v>
      </c>
    </row>
    <row r="701" spans="1:8" x14ac:dyDescent="0.25">
      <c r="A701" t="s">
        <v>727</v>
      </c>
      <c r="B701" s="2">
        <v>45981</v>
      </c>
      <c r="C701" t="s">
        <v>35</v>
      </c>
      <c r="D701" t="s">
        <v>16</v>
      </c>
      <c r="E701" t="s">
        <v>17</v>
      </c>
      <c r="F701" s="1">
        <v>9</v>
      </c>
      <c r="G701" s="1">
        <v>2282.33</v>
      </c>
      <c r="H701" s="1">
        <v>550.84</v>
      </c>
    </row>
    <row r="702" spans="1:8" x14ac:dyDescent="0.25">
      <c r="A702" t="s">
        <v>728</v>
      </c>
      <c r="B702" s="2">
        <v>45884</v>
      </c>
      <c r="C702" t="s">
        <v>22</v>
      </c>
      <c r="D702" t="s">
        <v>30</v>
      </c>
      <c r="E702" t="s">
        <v>26</v>
      </c>
      <c r="F702" s="1">
        <v>8</v>
      </c>
      <c r="G702" s="1">
        <v>5364.95</v>
      </c>
      <c r="H702" s="1">
        <v>1594.84</v>
      </c>
    </row>
    <row r="703" spans="1:8" x14ac:dyDescent="0.25">
      <c r="A703" t="s">
        <v>729</v>
      </c>
      <c r="B703" s="2">
        <v>45925</v>
      </c>
      <c r="C703" t="s">
        <v>28</v>
      </c>
      <c r="D703" t="s">
        <v>30</v>
      </c>
      <c r="E703" t="s">
        <v>26</v>
      </c>
      <c r="F703" s="1">
        <v>5</v>
      </c>
      <c r="G703" s="1">
        <v>1145.3800000000001</v>
      </c>
      <c r="H703" s="1">
        <v>94.89</v>
      </c>
    </row>
    <row r="704" spans="1:8" x14ac:dyDescent="0.25">
      <c r="A704" t="s">
        <v>730</v>
      </c>
      <c r="B704" s="2">
        <v>45909</v>
      </c>
      <c r="C704" t="s">
        <v>35</v>
      </c>
      <c r="D704" t="s">
        <v>30</v>
      </c>
      <c r="E704" t="s">
        <v>26</v>
      </c>
      <c r="F704" s="1">
        <v>8</v>
      </c>
      <c r="G704" s="1">
        <v>5322.91</v>
      </c>
      <c r="H704" s="1">
        <v>1414.29</v>
      </c>
    </row>
    <row r="705" spans="1:8" x14ac:dyDescent="0.25">
      <c r="A705" t="s">
        <v>731</v>
      </c>
      <c r="B705" s="2">
        <v>45661</v>
      </c>
      <c r="C705" t="s">
        <v>22</v>
      </c>
      <c r="D705" t="s">
        <v>33</v>
      </c>
      <c r="E705" t="s">
        <v>26</v>
      </c>
      <c r="F705" s="1">
        <v>7</v>
      </c>
      <c r="G705" s="1">
        <v>6773.62</v>
      </c>
      <c r="H705" s="1">
        <v>1633.74</v>
      </c>
    </row>
    <row r="706" spans="1:8" x14ac:dyDescent="0.25">
      <c r="A706" t="s">
        <v>732</v>
      </c>
      <c r="B706" s="2">
        <v>45988</v>
      </c>
      <c r="C706" t="s">
        <v>35</v>
      </c>
      <c r="D706" t="s">
        <v>55</v>
      </c>
      <c r="E706" t="s">
        <v>17</v>
      </c>
      <c r="F706" s="1">
        <v>9</v>
      </c>
      <c r="G706" s="1">
        <v>4974.05</v>
      </c>
      <c r="H706" s="1">
        <v>733.53</v>
      </c>
    </row>
    <row r="707" spans="1:8" x14ac:dyDescent="0.25">
      <c r="A707" t="s">
        <v>733</v>
      </c>
      <c r="B707" s="2">
        <v>45922</v>
      </c>
      <c r="C707" t="s">
        <v>22</v>
      </c>
      <c r="D707" t="s">
        <v>13</v>
      </c>
      <c r="E707" t="s">
        <v>14</v>
      </c>
      <c r="F707" s="1">
        <v>5</v>
      </c>
      <c r="G707" s="1">
        <v>705.46</v>
      </c>
      <c r="H707" s="1">
        <v>175.54</v>
      </c>
    </row>
    <row r="708" spans="1:8" x14ac:dyDescent="0.25">
      <c r="A708" t="s">
        <v>734</v>
      </c>
      <c r="B708" s="2">
        <v>45693</v>
      </c>
      <c r="C708" t="s">
        <v>28</v>
      </c>
      <c r="D708" t="s">
        <v>25</v>
      </c>
      <c r="E708" t="s">
        <v>26</v>
      </c>
      <c r="F708" s="1">
        <v>9</v>
      </c>
      <c r="G708" s="1">
        <v>8821.17</v>
      </c>
      <c r="H708" s="1">
        <v>1689.11</v>
      </c>
    </row>
    <row r="709" spans="1:8" x14ac:dyDescent="0.25">
      <c r="A709" t="s">
        <v>735</v>
      </c>
      <c r="B709" s="2">
        <v>45797</v>
      </c>
      <c r="C709" t="s">
        <v>35</v>
      </c>
      <c r="D709" t="s">
        <v>55</v>
      </c>
      <c r="E709" t="s">
        <v>17</v>
      </c>
      <c r="F709" s="1">
        <v>2</v>
      </c>
      <c r="G709" s="1">
        <v>1564.85</v>
      </c>
      <c r="H709" s="1">
        <v>386.18</v>
      </c>
    </row>
    <row r="710" spans="1:8" x14ac:dyDescent="0.25">
      <c r="A710" t="s">
        <v>736</v>
      </c>
      <c r="B710" s="2">
        <v>45669</v>
      </c>
      <c r="C710" t="s">
        <v>28</v>
      </c>
      <c r="D710" t="s">
        <v>55</v>
      </c>
      <c r="E710" t="s">
        <v>17</v>
      </c>
      <c r="F710" s="1">
        <v>1</v>
      </c>
      <c r="G710" s="1">
        <v>224.97</v>
      </c>
      <c r="H710" s="1">
        <v>76.900000000000006</v>
      </c>
    </row>
    <row r="711" spans="1:8" x14ac:dyDescent="0.25">
      <c r="A711" t="s">
        <v>737</v>
      </c>
      <c r="B711" s="2">
        <v>45662</v>
      </c>
      <c r="C711" t="s">
        <v>28</v>
      </c>
      <c r="D711" t="s">
        <v>20</v>
      </c>
      <c r="E711" t="s">
        <v>11</v>
      </c>
      <c r="F711" s="1">
        <v>5</v>
      </c>
      <c r="G711" s="1">
        <v>968.98</v>
      </c>
      <c r="H711" s="1">
        <v>192.22</v>
      </c>
    </row>
    <row r="712" spans="1:8" x14ac:dyDescent="0.25">
      <c r="A712" t="s">
        <v>738</v>
      </c>
      <c r="B712" s="2">
        <v>45817</v>
      </c>
      <c r="C712" t="s">
        <v>35</v>
      </c>
      <c r="D712" t="s">
        <v>10</v>
      </c>
      <c r="E712" t="s">
        <v>11</v>
      </c>
      <c r="F712" s="1">
        <v>1</v>
      </c>
      <c r="G712" s="1">
        <v>617.62</v>
      </c>
      <c r="H712" s="1">
        <v>106.43</v>
      </c>
    </row>
    <row r="713" spans="1:8" x14ac:dyDescent="0.25">
      <c r="A713" t="s">
        <v>739</v>
      </c>
      <c r="B713" s="2">
        <v>45732</v>
      </c>
      <c r="C713" t="s">
        <v>9</v>
      </c>
      <c r="D713" t="s">
        <v>30</v>
      </c>
      <c r="E713" t="s">
        <v>26</v>
      </c>
      <c r="F713" s="1">
        <v>1</v>
      </c>
      <c r="G713" s="1">
        <v>429.79</v>
      </c>
      <c r="H713" s="1">
        <v>132.27000000000001</v>
      </c>
    </row>
    <row r="714" spans="1:8" x14ac:dyDescent="0.25">
      <c r="A714" t="s">
        <v>740</v>
      </c>
      <c r="B714" s="2">
        <v>45786</v>
      </c>
      <c r="C714" t="s">
        <v>35</v>
      </c>
      <c r="D714" t="s">
        <v>30</v>
      </c>
      <c r="E714" t="s">
        <v>26</v>
      </c>
      <c r="F714" s="1">
        <v>2</v>
      </c>
      <c r="G714" s="1">
        <v>1349.34</v>
      </c>
      <c r="H714" s="1">
        <v>174.11</v>
      </c>
    </row>
    <row r="715" spans="1:8" x14ac:dyDescent="0.25">
      <c r="A715" t="s">
        <v>741</v>
      </c>
      <c r="B715" s="2">
        <v>45784</v>
      </c>
      <c r="C715" t="s">
        <v>9</v>
      </c>
      <c r="D715" t="s">
        <v>10</v>
      </c>
      <c r="E715" t="s">
        <v>11</v>
      </c>
      <c r="F715" s="1">
        <v>4</v>
      </c>
      <c r="G715" s="1">
        <v>1970.07</v>
      </c>
      <c r="H715" s="1">
        <v>676.21</v>
      </c>
    </row>
    <row r="716" spans="1:8" x14ac:dyDescent="0.25">
      <c r="A716" t="s">
        <v>742</v>
      </c>
      <c r="B716" s="2">
        <v>45900</v>
      </c>
      <c r="C716" t="s">
        <v>35</v>
      </c>
      <c r="D716" t="s">
        <v>55</v>
      </c>
      <c r="E716" t="s">
        <v>17</v>
      </c>
      <c r="F716" s="1">
        <v>2</v>
      </c>
      <c r="G716" s="1">
        <v>1298.6199999999999</v>
      </c>
      <c r="H716" s="1">
        <v>448.25</v>
      </c>
    </row>
    <row r="717" spans="1:8" x14ac:dyDescent="0.25">
      <c r="A717" t="s">
        <v>743</v>
      </c>
      <c r="B717" s="2">
        <v>45939</v>
      </c>
      <c r="C717" t="s">
        <v>9</v>
      </c>
      <c r="D717" t="s">
        <v>30</v>
      </c>
      <c r="E717" t="s">
        <v>26</v>
      </c>
      <c r="F717" s="1">
        <v>3</v>
      </c>
      <c r="G717" s="1">
        <v>2320.62</v>
      </c>
      <c r="H717" s="1">
        <v>212.08</v>
      </c>
    </row>
    <row r="718" spans="1:8" x14ac:dyDescent="0.25">
      <c r="A718" t="s">
        <v>744</v>
      </c>
      <c r="B718" s="2">
        <v>45999</v>
      </c>
      <c r="C718" t="s">
        <v>28</v>
      </c>
      <c r="D718" t="s">
        <v>30</v>
      </c>
      <c r="E718" t="s">
        <v>26</v>
      </c>
      <c r="F718" s="1">
        <v>5</v>
      </c>
      <c r="G718" s="1">
        <v>1392.66</v>
      </c>
      <c r="H718" s="1">
        <v>445.14</v>
      </c>
    </row>
    <row r="719" spans="1:8" x14ac:dyDescent="0.25">
      <c r="A719" t="s">
        <v>745</v>
      </c>
      <c r="B719" s="2">
        <v>45799</v>
      </c>
      <c r="C719" t="s">
        <v>9</v>
      </c>
      <c r="D719" t="s">
        <v>10</v>
      </c>
      <c r="E719" t="s">
        <v>11</v>
      </c>
      <c r="F719" s="1">
        <v>7</v>
      </c>
      <c r="G719" s="1">
        <v>2962.33</v>
      </c>
      <c r="H719" s="1">
        <v>370.85</v>
      </c>
    </row>
    <row r="720" spans="1:8" x14ac:dyDescent="0.25">
      <c r="A720" t="s">
        <v>746</v>
      </c>
      <c r="B720" s="2">
        <v>46011</v>
      </c>
      <c r="C720" t="s">
        <v>35</v>
      </c>
      <c r="D720" t="s">
        <v>13</v>
      </c>
      <c r="E720" t="s">
        <v>14</v>
      </c>
      <c r="F720" s="1">
        <v>1</v>
      </c>
      <c r="G720" s="1">
        <v>1164.1600000000001</v>
      </c>
      <c r="H720" s="1">
        <v>275.77999999999997</v>
      </c>
    </row>
    <row r="721" spans="1:8" x14ac:dyDescent="0.25">
      <c r="A721" t="s">
        <v>747</v>
      </c>
      <c r="B721" s="2">
        <v>46009</v>
      </c>
      <c r="C721" t="s">
        <v>22</v>
      </c>
      <c r="D721" t="s">
        <v>55</v>
      </c>
      <c r="E721" t="s">
        <v>17</v>
      </c>
      <c r="F721" s="1">
        <v>2</v>
      </c>
      <c r="G721" s="1">
        <v>672.06</v>
      </c>
      <c r="H721" s="1">
        <v>144.47999999999999</v>
      </c>
    </row>
    <row r="722" spans="1:8" x14ac:dyDescent="0.25">
      <c r="A722" t="s">
        <v>748</v>
      </c>
      <c r="B722" s="2">
        <v>45712</v>
      </c>
      <c r="C722" t="s">
        <v>28</v>
      </c>
      <c r="D722" t="s">
        <v>10</v>
      </c>
      <c r="E722" t="s">
        <v>11</v>
      </c>
      <c r="F722" s="1">
        <v>6</v>
      </c>
      <c r="G722" s="1">
        <v>4747.57</v>
      </c>
      <c r="H722" s="1">
        <v>1278.8</v>
      </c>
    </row>
    <row r="723" spans="1:8" x14ac:dyDescent="0.25">
      <c r="A723" t="s">
        <v>749</v>
      </c>
      <c r="B723" s="2">
        <v>45835</v>
      </c>
      <c r="C723" t="s">
        <v>35</v>
      </c>
      <c r="D723" t="s">
        <v>13</v>
      </c>
      <c r="E723" t="s">
        <v>14</v>
      </c>
      <c r="F723" s="1">
        <v>6</v>
      </c>
      <c r="G723" s="1">
        <v>7073.56</v>
      </c>
      <c r="H723" s="1">
        <v>2071.9299999999998</v>
      </c>
    </row>
    <row r="724" spans="1:8" x14ac:dyDescent="0.25">
      <c r="A724" t="s">
        <v>750</v>
      </c>
      <c r="B724" s="2">
        <v>45678</v>
      </c>
      <c r="C724" t="s">
        <v>35</v>
      </c>
      <c r="D724" t="s">
        <v>48</v>
      </c>
      <c r="E724" t="s">
        <v>17</v>
      </c>
      <c r="F724" s="1">
        <v>7</v>
      </c>
      <c r="G724" s="1">
        <v>3233.25</v>
      </c>
      <c r="H724" s="1">
        <v>376.28</v>
      </c>
    </row>
    <row r="725" spans="1:8" x14ac:dyDescent="0.25">
      <c r="A725" t="s">
        <v>751</v>
      </c>
      <c r="B725" s="2">
        <v>45948</v>
      </c>
      <c r="C725" t="s">
        <v>28</v>
      </c>
      <c r="D725" t="s">
        <v>23</v>
      </c>
      <c r="E725" t="s">
        <v>14</v>
      </c>
      <c r="F725" s="1">
        <v>5</v>
      </c>
      <c r="G725" s="1">
        <v>3370.72</v>
      </c>
      <c r="H725" s="1">
        <v>715.69</v>
      </c>
    </row>
    <row r="726" spans="1:8" x14ac:dyDescent="0.25">
      <c r="A726" t="s">
        <v>752</v>
      </c>
      <c r="B726" s="2">
        <v>45941</v>
      </c>
      <c r="C726" t="s">
        <v>28</v>
      </c>
      <c r="D726" t="s">
        <v>30</v>
      </c>
      <c r="E726" t="s">
        <v>26</v>
      </c>
      <c r="F726" s="1">
        <v>8</v>
      </c>
      <c r="G726" s="1">
        <v>2932.99</v>
      </c>
      <c r="H726" s="1">
        <v>892.99</v>
      </c>
    </row>
    <row r="727" spans="1:8" x14ac:dyDescent="0.25">
      <c r="A727" t="s">
        <v>753</v>
      </c>
      <c r="B727" s="2">
        <v>45935</v>
      </c>
      <c r="C727" t="s">
        <v>22</v>
      </c>
      <c r="D727" t="s">
        <v>41</v>
      </c>
      <c r="E727" t="s">
        <v>11</v>
      </c>
      <c r="F727" s="1">
        <v>3</v>
      </c>
      <c r="G727" s="1">
        <v>1700.38</v>
      </c>
      <c r="H727" s="1">
        <v>512.23</v>
      </c>
    </row>
    <row r="728" spans="1:8" x14ac:dyDescent="0.25">
      <c r="A728" t="s">
        <v>754</v>
      </c>
      <c r="B728" s="2">
        <v>45667</v>
      </c>
      <c r="C728" t="s">
        <v>22</v>
      </c>
      <c r="D728" t="s">
        <v>13</v>
      </c>
      <c r="E728" t="s">
        <v>14</v>
      </c>
      <c r="F728" s="1">
        <v>9</v>
      </c>
      <c r="G728" s="1">
        <v>4373.1000000000004</v>
      </c>
      <c r="H728" s="1">
        <v>568.91999999999996</v>
      </c>
    </row>
    <row r="729" spans="1:8" x14ac:dyDescent="0.25">
      <c r="A729" t="s">
        <v>755</v>
      </c>
      <c r="B729" s="2">
        <v>45856</v>
      </c>
      <c r="C729" t="s">
        <v>28</v>
      </c>
      <c r="D729" t="s">
        <v>55</v>
      </c>
      <c r="E729" t="s">
        <v>17</v>
      </c>
      <c r="F729" s="1">
        <v>2</v>
      </c>
      <c r="G729" s="1">
        <v>1614.07</v>
      </c>
      <c r="H729" s="1">
        <v>364</v>
      </c>
    </row>
    <row r="730" spans="1:8" x14ac:dyDescent="0.25">
      <c r="A730" t="s">
        <v>756</v>
      </c>
      <c r="B730" s="2">
        <v>45986</v>
      </c>
      <c r="C730" t="s">
        <v>22</v>
      </c>
      <c r="D730" t="s">
        <v>23</v>
      </c>
      <c r="E730" t="s">
        <v>14</v>
      </c>
      <c r="F730" s="1">
        <v>3</v>
      </c>
      <c r="G730" s="1">
        <v>2264.9899999999998</v>
      </c>
      <c r="H730" s="1">
        <v>378.48</v>
      </c>
    </row>
    <row r="731" spans="1:8" x14ac:dyDescent="0.25">
      <c r="A731" t="s">
        <v>757</v>
      </c>
      <c r="B731" s="2">
        <v>45724</v>
      </c>
      <c r="C731" t="s">
        <v>28</v>
      </c>
      <c r="D731" t="s">
        <v>10</v>
      </c>
      <c r="E731" t="s">
        <v>11</v>
      </c>
      <c r="F731" s="1">
        <v>9</v>
      </c>
      <c r="G731" s="1">
        <v>7269.52</v>
      </c>
      <c r="H731" s="1">
        <v>667.49</v>
      </c>
    </row>
    <row r="732" spans="1:8" x14ac:dyDescent="0.25">
      <c r="A732" t="s">
        <v>758</v>
      </c>
      <c r="B732" s="2">
        <v>45950</v>
      </c>
      <c r="C732" t="s">
        <v>35</v>
      </c>
      <c r="D732" t="s">
        <v>10</v>
      </c>
      <c r="E732" t="s">
        <v>11</v>
      </c>
      <c r="F732" s="1">
        <v>2</v>
      </c>
      <c r="G732" s="1">
        <v>1216.3499999999999</v>
      </c>
      <c r="H732" s="1">
        <v>129.74</v>
      </c>
    </row>
    <row r="733" spans="1:8" x14ac:dyDescent="0.25">
      <c r="A733" t="s">
        <v>759</v>
      </c>
      <c r="B733" s="2">
        <v>45845</v>
      </c>
      <c r="C733" t="s">
        <v>28</v>
      </c>
      <c r="D733" t="s">
        <v>23</v>
      </c>
      <c r="E733" t="s">
        <v>14</v>
      </c>
      <c r="F733" s="1">
        <v>10</v>
      </c>
      <c r="G733" s="1">
        <v>8565.11</v>
      </c>
      <c r="H733" s="1">
        <v>1277.0899999999999</v>
      </c>
    </row>
    <row r="734" spans="1:8" x14ac:dyDescent="0.25">
      <c r="A734" t="s">
        <v>760</v>
      </c>
      <c r="B734" s="2">
        <v>45698</v>
      </c>
      <c r="C734" t="s">
        <v>35</v>
      </c>
      <c r="D734" t="s">
        <v>10</v>
      </c>
      <c r="E734" t="s">
        <v>11</v>
      </c>
      <c r="F734" s="1">
        <v>4</v>
      </c>
      <c r="G734" s="1">
        <v>3216.45</v>
      </c>
      <c r="H734" s="1">
        <v>1063.58</v>
      </c>
    </row>
    <row r="735" spans="1:8" x14ac:dyDescent="0.25">
      <c r="A735" t="s">
        <v>761</v>
      </c>
      <c r="B735" s="2">
        <v>45846</v>
      </c>
      <c r="C735" t="s">
        <v>9</v>
      </c>
      <c r="D735" t="s">
        <v>20</v>
      </c>
      <c r="E735" t="s">
        <v>11</v>
      </c>
      <c r="F735" s="1">
        <v>9</v>
      </c>
      <c r="G735" s="1">
        <v>8144.99</v>
      </c>
      <c r="H735" s="1">
        <v>2609.79</v>
      </c>
    </row>
    <row r="736" spans="1:8" x14ac:dyDescent="0.25">
      <c r="A736" t="s">
        <v>762</v>
      </c>
      <c r="B736" s="2">
        <v>45697</v>
      </c>
      <c r="C736" t="s">
        <v>28</v>
      </c>
      <c r="D736" t="s">
        <v>25</v>
      </c>
      <c r="E736" t="s">
        <v>26</v>
      </c>
      <c r="F736" s="1">
        <v>1</v>
      </c>
      <c r="G736" s="1">
        <v>894.45</v>
      </c>
      <c r="H736" s="1">
        <v>273.08</v>
      </c>
    </row>
    <row r="737" spans="1:8" x14ac:dyDescent="0.25">
      <c r="A737" t="s">
        <v>763</v>
      </c>
      <c r="B737" s="2">
        <v>45927</v>
      </c>
      <c r="C737" t="s">
        <v>28</v>
      </c>
      <c r="D737" t="s">
        <v>10</v>
      </c>
      <c r="E737" t="s">
        <v>11</v>
      </c>
      <c r="F737" s="1">
        <v>4</v>
      </c>
      <c r="G737" s="1">
        <v>2645.64</v>
      </c>
      <c r="H737" s="1">
        <v>346.99</v>
      </c>
    </row>
    <row r="738" spans="1:8" x14ac:dyDescent="0.25">
      <c r="A738" t="s">
        <v>764</v>
      </c>
      <c r="B738" s="2">
        <v>45984</v>
      </c>
      <c r="C738" t="s">
        <v>22</v>
      </c>
      <c r="D738" t="s">
        <v>16</v>
      </c>
      <c r="E738" t="s">
        <v>17</v>
      </c>
      <c r="F738" s="1">
        <v>9</v>
      </c>
      <c r="G738" s="1">
        <v>4747.16</v>
      </c>
      <c r="H738" s="1">
        <v>515.01</v>
      </c>
    </row>
    <row r="739" spans="1:8" x14ac:dyDescent="0.25">
      <c r="A739" t="s">
        <v>765</v>
      </c>
      <c r="B739" s="2">
        <v>45750</v>
      </c>
      <c r="C739" t="s">
        <v>35</v>
      </c>
      <c r="D739" t="s">
        <v>23</v>
      </c>
      <c r="E739" t="s">
        <v>14</v>
      </c>
      <c r="F739" s="1">
        <v>7</v>
      </c>
      <c r="G739" s="1">
        <v>7456.73</v>
      </c>
      <c r="H739" s="1">
        <v>932.38</v>
      </c>
    </row>
    <row r="740" spans="1:8" x14ac:dyDescent="0.25">
      <c r="A740" t="s">
        <v>766</v>
      </c>
      <c r="B740" s="2">
        <v>45838</v>
      </c>
      <c r="C740" t="s">
        <v>22</v>
      </c>
      <c r="D740" t="s">
        <v>25</v>
      </c>
      <c r="E740" t="s">
        <v>26</v>
      </c>
      <c r="F740" s="1">
        <v>3</v>
      </c>
      <c r="G740" s="1">
        <v>1991.96</v>
      </c>
      <c r="H740" s="1">
        <v>482.01</v>
      </c>
    </row>
    <row r="741" spans="1:8" x14ac:dyDescent="0.25">
      <c r="A741" t="s">
        <v>767</v>
      </c>
      <c r="B741" s="2">
        <v>45823</v>
      </c>
      <c r="C741" t="s">
        <v>28</v>
      </c>
      <c r="D741" t="s">
        <v>30</v>
      </c>
      <c r="E741" t="s">
        <v>26</v>
      </c>
      <c r="F741" s="1">
        <v>7</v>
      </c>
      <c r="G741" s="1">
        <v>6501.68</v>
      </c>
      <c r="H741" s="1">
        <v>1276.01</v>
      </c>
    </row>
    <row r="742" spans="1:8" x14ac:dyDescent="0.25">
      <c r="A742" t="s">
        <v>768</v>
      </c>
      <c r="B742" s="2">
        <v>45889</v>
      </c>
      <c r="C742" t="s">
        <v>35</v>
      </c>
      <c r="D742" t="s">
        <v>55</v>
      </c>
      <c r="E742" t="s">
        <v>17</v>
      </c>
      <c r="F742" s="1">
        <v>9</v>
      </c>
      <c r="G742" s="1">
        <v>10035.620000000001</v>
      </c>
      <c r="H742" s="1">
        <v>1491.33</v>
      </c>
    </row>
    <row r="743" spans="1:8" x14ac:dyDescent="0.25">
      <c r="A743" t="s">
        <v>769</v>
      </c>
      <c r="B743" s="2">
        <v>45923</v>
      </c>
      <c r="C743" t="s">
        <v>28</v>
      </c>
      <c r="D743" t="s">
        <v>13</v>
      </c>
      <c r="E743" t="s">
        <v>14</v>
      </c>
      <c r="F743" s="1">
        <v>1</v>
      </c>
      <c r="G743" s="1">
        <v>1180.4000000000001</v>
      </c>
      <c r="H743" s="1">
        <v>284.31</v>
      </c>
    </row>
    <row r="744" spans="1:8" x14ac:dyDescent="0.25">
      <c r="A744" t="s">
        <v>770</v>
      </c>
      <c r="B744" s="2">
        <v>45819</v>
      </c>
      <c r="C744" t="s">
        <v>9</v>
      </c>
      <c r="D744" t="s">
        <v>33</v>
      </c>
      <c r="E744" t="s">
        <v>26</v>
      </c>
      <c r="F744" s="1">
        <v>5</v>
      </c>
      <c r="G744" s="1">
        <v>5910.27</v>
      </c>
      <c r="H744" s="1">
        <v>815.63</v>
      </c>
    </row>
    <row r="745" spans="1:8" x14ac:dyDescent="0.25">
      <c r="A745" t="s">
        <v>771</v>
      </c>
      <c r="B745" s="2">
        <v>45737</v>
      </c>
      <c r="C745" t="s">
        <v>9</v>
      </c>
      <c r="D745" t="s">
        <v>25</v>
      </c>
      <c r="E745" t="s">
        <v>26</v>
      </c>
      <c r="F745" s="1">
        <v>9</v>
      </c>
      <c r="G745" s="1">
        <v>6207.94</v>
      </c>
      <c r="H745" s="1">
        <v>2048.61</v>
      </c>
    </row>
    <row r="746" spans="1:8" x14ac:dyDescent="0.25">
      <c r="A746" t="s">
        <v>772</v>
      </c>
      <c r="B746" s="2">
        <v>45956</v>
      </c>
      <c r="C746" t="s">
        <v>28</v>
      </c>
      <c r="D746" t="s">
        <v>20</v>
      </c>
      <c r="E746" t="s">
        <v>11</v>
      </c>
      <c r="F746" s="1">
        <v>6</v>
      </c>
      <c r="G746" s="1">
        <v>1377.14</v>
      </c>
      <c r="H746" s="1">
        <v>208.7</v>
      </c>
    </row>
    <row r="747" spans="1:8" x14ac:dyDescent="0.25">
      <c r="A747" t="s">
        <v>773</v>
      </c>
      <c r="B747" s="2">
        <v>45769</v>
      </c>
      <c r="C747" t="s">
        <v>9</v>
      </c>
      <c r="D747" t="s">
        <v>55</v>
      </c>
      <c r="E747" t="s">
        <v>17</v>
      </c>
      <c r="F747" s="1">
        <v>5</v>
      </c>
      <c r="G747" s="1">
        <v>778.45</v>
      </c>
      <c r="H747" s="1">
        <v>146.31</v>
      </c>
    </row>
    <row r="748" spans="1:8" x14ac:dyDescent="0.25">
      <c r="A748" t="s">
        <v>774</v>
      </c>
      <c r="B748" s="2">
        <v>46017</v>
      </c>
      <c r="C748" t="s">
        <v>9</v>
      </c>
      <c r="D748" t="s">
        <v>30</v>
      </c>
      <c r="E748" t="s">
        <v>26</v>
      </c>
      <c r="F748" s="1">
        <v>3</v>
      </c>
      <c r="G748" s="1">
        <v>1834.55</v>
      </c>
      <c r="H748" s="1">
        <v>592.08000000000004</v>
      </c>
    </row>
    <row r="749" spans="1:8" x14ac:dyDescent="0.25">
      <c r="A749" t="s">
        <v>775</v>
      </c>
      <c r="B749" s="2">
        <v>45829</v>
      </c>
      <c r="C749" t="s">
        <v>22</v>
      </c>
      <c r="D749" t="s">
        <v>33</v>
      </c>
      <c r="E749" t="s">
        <v>26</v>
      </c>
      <c r="F749" s="1">
        <v>10</v>
      </c>
      <c r="G749" s="1">
        <v>4887.78</v>
      </c>
      <c r="H749" s="1">
        <v>1420.55</v>
      </c>
    </row>
    <row r="750" spans="1:8" x14ac:dyDescent="0.25">
      <c r="A750" t="s">
        <v>776</v>
      </c>
      <c r="B750" s="2">
        <v>45992</v>
      </c>
      <c r="C750" t="s">
        <v>9</v>
      </c>
      <c r="D750" t="s">
        <v>57</v>
      </c>
      <c r="E750" t="s">
        <v>14</v>
      </c>
      <c r="F750" s="1">
        <v>2</v>
      </c>
      <c r="G750" s="1">
        <v>2100.5100000000002</v>
      </c>
      <c r="H750" s="1">
        <v>296.62</v>
      </c>
    </row>
    <row r="751" spans="1:8" x14ac:dyDescent="0.25">
      <c r="A751" t="s">
        <v>777</v>
      </c>
      <c r="B751" s="2">
        <v>45947</v>
      </c>
      <c r="C751" t="s">
        <v>28</v>
      </c>
      <c r="D751" t="s">
        <v>13</v>
      </c>
      <c r="E751" t="s">
        <v>14</v>
      </c>
      <c r="F751" s="1">
        <v>5</v>
      </c>
      <c r="G751" s="1">
        <v>3265.2</v>
      </c>
      <c r="H751" s="1">
        <v>542.73</v>
      </c>
    </row>
    <row r="752" spans="1:8" x14ac:dyDescent="0.25">
      <c r="A752" t="s">
        <v>778</v>
      </c>
      <c r="B752" s="2">
        <v>45859</v>
      </c>
      <c r="C752" t="s">
        <v>35</v>
      </c>
      <c r="D752" t="s">
        <v>25</v>
      </c>
      <c r="E752" t="s">
        <v>26</v>
      </c>
      <c r="F752" s="1">
        <v>4</v>
      </c>
      <c r="G752" s="1">
        <v>904.71</v>
      </c>
      <c r="H752" s="1">
        <v>236.93</v>
      </c>
    </row>
    <row r="753" spans="1:8" x14ac:dyDescent="0.25">
      <c r="A753" t="s">
        <v>779</v>
      </c>
      <c r="B753" s="2">
        <v>45725</v>
      </c>
      <c r="C753" t="s">
        <v>22</v>
      </c>
      <c r="D753" t="s">
        <v>10</v>
      </c>
      <c r="E753" t="s">
        <v>11</v>
      </c>
      <c r="F753" s="1">
        <v>7</v>
      </c>
      <c r="G753" s="1">
        <v>2682.75</v>
      </c>
      <c r="H753" s="1">
        <v>500.24</v>
      </c>
    </row>
    <row r="754" spans="1:8" x14ac:dyDescent="0.25">
      <c r="A754" t="s">
        <v>780</v>
      </c>
      <c r="B754" s="2">
        <v>45792</v>
      </c>
      <c r="C754" t="s">
        <v>9</v>
      </c>
      <c r="D754" t="s">
        <v>20</v>
      </c>
      <c r="E754" t="s">
        <v>11</v>
      </c>
      <c r="F754" s="1">
        <v>10</v>
      </c>
      <c r="G754" s="1">
        <v>9071.1200000000008</v>
      </c>
      <c r="H754" s="1">
        <v>2068.23</v>
      </c>
    </row>
    <row r="755" spans="1:8" x14ac:dyDescent="0.25">
      <c r="A755" t="s">
        <v>781</v>
      </c>
      <c r="B755" s="2">
        <v>45727</v>
      </c>
      <c r="C755" t="s">
        <v>35</v>
      </c>
      <c r="D755" t="s">
        <v>23</v>
      </c>
      <c r="E755" t="s">
        <v>14</v>
      </c>
      <c r="F755" s="1">
        <v>7</v>
      </c>
      <c r="G755" s="1">
        <v>6579.29</v>
      </c>
      <c r="H755" s="1">
        <v>757.94</v>
      </c>
    </row>
    <row r="756" spans="1:8" x14ac:dyDescent="0.25">
      <c r="A756" t="s">
        <v>782</v>
      </c>
      <c r="B756" s="2">
        <v>45973</v>
      </c>
      <c r="C756" t="s">
        <v>28</v>
      </c>
      <c r="D756" t="s">
        <v>55</v>
      </c>
      <c r="E756" t="s">
        <v>17</v>
      </c>
      <c r="F756" s="1">
        <v>7</v>
      </c>
      <c r="G756" s="1">
        <v>5600.6</v>
      </c>
      <c r="H756" s="1">
        <v>744.58</v>
      </c>
    </row>
    <row r="757" spans="1:8" x14ac:dyDescent="0.25">
      <c r="A757" t="s">
        <v>783</v>
      </c>
      <c r="B757" s="2">
        <v>45952</v>
      </c>
      <c r="C757" t="s">
        <v>9</v>
      </c>
      <c r="D757" t="s">
        <v>48</v>
      </c>
      <c r="E757" t="s">
        <v>17</v>
      </c>
      <c r="F757" s="1">
        <v>5</v>
      </c>
      <c r="G757" s="1">
        <v>4716.4399999999996</v>
      </c>
      <c r="H757" s="1">
        <v>789.16</v>
      </c>
    </row>
    <row r="758" spans="1:8" x14ac:dyDescent="0.25">
      <c r="A758" t="s">
        <v>784</v>
      </c>
      <c r="B758" s="2">
        <v>45822</v>
      </c>
      <c r="C758" t="s">
        <v>22</v>
      </c>
      <c r="D758" t="s">
        <v>41</v>
      </c>
      <c r="E758" t="s">
        <v>11</v>
      </c>
      <c r="F758" s="1">
        <v>7</v>
      </c>
      <c r="G758" s="1">
        <v>3759.5</v>
      </c>
      <c r="H758" s="1">
        <v>654.32000000000005</v>
      </c>
    </row>
    <row r="759" spans="1:8" x14ac:dyDescent="0.25">
      <c r="A759" t="s">
        <v>785</v>
      </c>
      <c r="B759" s="2">
        <v>45884</v>
      </c>
      <c r="C759" t="s">
        <v>28</v>
      </c>
      <c r="D759" t="s">
        <v>20</v>
      </c>
      <c r="E759" t="s">
        <v>11</v>
      </c>
      <c r="F759" s="1">
        <v>3</v>
      </c>
      <c r="G759" s="1">
        <v>3557.4</v>
      </c>
      <c r="H759" s="1">
        <v>876.47</v>
      </c>
    </row>
    <row r="760" spans="1:8" x14ac:dyDescent="0.25">
      <c r="A760" t="s">
        <v>786</v>
      </c>
      <c r="B760" s="2">
        <v>45701</v>
      </c>
      <c r="C760" t="s">
        <v>9</v>
      </c>
      <c r="D760" t="s">
        <v>13</v>
      </c>
      <c r="E760" t="s">
        <v>14</v>
      </c>
      <c r="F760" s="1">
        <v>4</v>
      </c>
      <c r="G760" s="1">
        <v>1118.55</v>
      </c>
      <c r="H760" s="1">
        <v>202.38</v>
      </c>
    </row>
    <row r="761" spans="1:8" x14ac:dyDescent="0.25">
      <c r="A761" t="s">
        <v>787</v>
      </c>
      <c r="B761" s="2">
        <v>45805</v>
      </c>
      <c r="C761" t="s">
        <v>9</v>
      </c>
      <c r="D761" t="s">
        <v>10</v>
      </c>
      <c r="E761" t="s">
        <v>11</v>
      </c>
      <c r="F761" s="1">
        <v>10</v>
      </c>
      <c r="G761" s="1">
        <v>11157.39</v>
      </c>
      <c r="H761" s="1">
        <v>3509.7</v>
      </c>
    </row>
    <row r="762" spans="1:8" x14ac:dyDescent="0.25">
      <c r="A762" t="s">
        <v>788</v>
      </c>
      <c r="B762" s="2">
        <v>45827</v>
      </c>
      <c r="C762" t="s">
        <v>28</v>
      </c>
      <c r="D762" t="s">
        <v>25</v>
      </c>
      <c r="E762" t="s">
        <v>26</v>
      </c>
      <c r="F762" s="1">
        <v>2</v>
      </c>
      <c r="G762" s="1">
        <v>801.77</v>
      </c>
      <c r="H762" s="1">
        <v>166.14</v>
      </c>
    </row>
    <row r="763" spans="1:8" x14ac:dyDescent="0.25">
      <c r="A763" t="s">
        <v>789</v>
      </c>
      <c r="B763" s="2">
        <v>45905</v>
      </c>
      <c r="C763" t="s">
        <v>28</v>
      </c>
      <c r="D763" t="s">
        <v>48</v>
      </c>
      <c r="E763" t="s">
        <v>17</v>
      </c>
      <c r="F763" s="1">
        <v>9</v>
      </c>
      <c r="G763" s="1">
        <v>5865.8</v>
      </c>
      <c r="H763" s="1">
        <v>878.92</v>
      </c>
    </row>
    <row r="764" spans="1:8" x14ac:dyDescent="0.25">
      <c r="A764" t="s">
        <v>790</v>
      </c>
      <c r="B764" s="2">
        <v>45788</v>
      </c>
      <c r="C764" t="s">
        <v>28</v>
      </c>
      <c r="D764" t="s">
        <v>20</v>
      </c>
      <c r="E764" t="s">
        <v>11</v>
      </c>
      <c r="F764" s="1">
        <v>10</v>
      </c>
      <c r="G764" s="1">
        <v>10919.46</v>
      </c>
      <c r="H764" s="1">
        <v>2426.69</v>
      </c>
    </row>
    <row r="765" spans="1:8" x14ac:dyDescent="0.25">
      <c r="A765" t="s">
        <v>791</v>
      </c>
      <c r="B765" s="2">
        <v>45685</v>
      </c>
      <c r="C765" t="s">
        <v>35</v>
      </c>
      <c r="D765" t="s">
        <v>20</v>
      </c>
      <c r="E765" t="s">
        <v>11</v>
      </c>
      <c r="F765" s="1">
        <v>4</v>
      </c>
      <c r="G765" s="1">
        <v>3830.27</v>
      </c>
      <c r="H765" s="1">
        <v>945.5</v>
      </c>
    </row>
    <row r="766" spans="1:8" x14ac:dyDescent="0.25">
      <c r="A766" t="s">
        <v>792</v>
      </c>
      <c r="B766" s="2">
        <v>45995</v>
      </c>
      <c r="C766" t="s">
        <v>22</v>
      </c>
      <c r="D766" t="s">
        <v>10</v>
      </c>
      <c r="E766" t="s">
        <v>11</v>
      </c>
      <c r="F766" s="1">
        <v>7</v>
      </c>
      <c r="G766" s="1">
        <v>5666</v>
      </c>
      <c r="H766" s="1">
        <v>1467.52</v>
      </c>
    </row>
    <row r="767" spans="1:8" x14ac:dyDescent="0.25">
      <c r="A767" t="s">
        <v>793</v>
      </c>
      <c r="B767" s="2">
        <v>45776</v>
      </c>
      <c r="C767" t="s">
        <v>35</v>
      </c>
      <c r="D767" t="s">
        <v>10</v>
      </c>
      <c r="E767" t="s">
        <v>11</v>
      </c>
      <c r="F767" s="1">
        <v>5</v>
      </c>
      <c r="G767" s="1">
        <v>5237.6099999999997</v>
      </c>
      <c r="H767" s="1">
        <v>1337.38</v>
      </c>
    </row>
    <row r="768" spans="1:8" x14ac:dyDescent="0.25">
      <c r="A768" t="s">
        <v>794</v>
      </c>
      <c r="B768" s="2">
        <v>45753</v>
      </c>
      <c r="C768" t="s">
        <v>28</v>
      </c>
      <c r="D768" t="s">
        <v>20</v>
      </c>
      <c r="E768" t="s">
        <v>11</v>
      </c>
      <c r="F768" s="1">
        <v>8</v>
      </c>
      <c r="G768" s="1">
        <v>8374.31</v>
      </c>
      <c r="H768" s="1">
        <v>1871.84</v>
      </c>
    </row>
    <row r="769" spans="1:8" x14ac:dyDescent="0.25">
      <c r="A769" t="s">
        <v>795</v>
      </c>
      <c r="B769" s="2">
        <v>45814</v>
      </c>
      <c r="C769" t="s">
        <v>22</v>
      </c>
      <c r="D769" t="s">
        <v>23</v>
      </c>
      <c r="E769" t="s">
        <v>14</v>
      </c>
      <c r="F769" s="1">
        <v>1</v>
      </c>
      <c r="G769" s="1">
        <v>95.72</v>
      </c>
      <c r="H769" s="1">
        <v>31.49</v>
      </c>
    </row>
    <row r="770" spans="1:8" x14ac:dyDescent="0.25">
      <c r="A770" t="s">
        <v>796</v>
      </c>
      <c r="B770" s="2">
        <v>45839</v>
      </c>
      <c r="C770" t="s">
        <v>22</v>
      </c>
      <c r="D770" t="s">
        <v>57</v>
      </c>
      <c r="E770" t="s">
        <v>14</v>
      </c>
      <c r="F770" s="1">
        <v>3</v>
      </c>
      <c r="G770" s="1">
        <v>213.38</v>
      </c>
      <c r="H770" s="1">
        <v>56.5</v>
      </c>
    </row>
    <row r="771" spans="1:8" x14ac:dyDescent="0.25">
      <c r="A771" t="s">
        <v>797</v>
      </c>
      <c r="B771" s="2">
        <v>45856</v>
      </c>
      <c r="C771" t="s">
        <v>9</v>
      </c>
      <c r="D771" t="s">
        <v>16</v>
      </c>
      <c r="E771" t="s">
        <v>17</v>
      </c>
      <c r="F771" s="1">
        <v>5</v>
      </c>
      <c r="G771" s="1">
        <v>4918.38</v>
      </c>
      <c r="H771" s="1">
        <v>1224.5</v>
      </c>
    </row>
    <row r="772" spans="1:8" x14ac:dyDescent="0.25">
      <c r="A772" t="s">
        <v>798</v>
      </c>
      <c r="B772" s="2">
        <v>45728</v>
      </c>
      <c r="C772" t="s">
        <v>9</v>
      </c>
      <c r="D772" t="s">
        <v>33</v>
      </c>
      <c r="E772" t="s">
        <v>26</v>
      </c>
      <c r="F772" s="1">
        <v>3</v>
      </c>
      <c r="G772" s="1">
        <v>1329.16</v>
      </c>
      <c r="H772" s="1">
        <v>247.31</v>
      </c>
    </row>
    <row r="773" spans="1:8" x14ac:dyDescent="0.25">
      <c r="A773" t="s">
        <v>799</v>
      </c>
      <c r="B773" s="2">
        <v>45871</v>
      </c>
      <c r="C773" t="s">
        <v>28</v>
      </c>
      <c r="D773" t="s">
        <v>23</v>
      </c>
      <c r="E773" t="s">
        <v>14</v>
      </c>
      <c r="F773" s="1">
        <v>10</v>
      </c>
      <c r="G773" s="1">
        <v>10536.07</v>
      </c>
      <c r="H773" s="1">
        <v>2795.87</v>
      </c>
    </row>
    <row r="774" spans="1:8" x14ac:dyDescent="0.25">
      <c r="A774" t="s">
        <v>800</v>
      </c>
      <c r="B774" s="2">
        <v>45935</v>
      </c>
      <c r="C774" t="s">
        <v>28</v>
      </c>
      <c r="D774" t="s">
        <v>55</v>
      </c>
      <c r="E774" t="s">
        <v>17</v>
      </c>
      <c r="F774" s="1">
        <v>5</v>
      </c>
      <c r="G774" s="1">
        <v>5480.98</v>
      </c>
      <c r="H774" s="1">
        <v>925.78</v>
      </c>
    </row>
    <row r="775" spans="1:8" x14ac:dyDescent="0.25">
      <c r="A775" t="s">
        <v>801</v>
      </c>
      <c r="B775" s="2">
        <v>45761</v>
      </c>
      <c r="C775" t="s">
        <v>28</v>
      </c>
      <c r="D775" t="s">
        <v>16</v>
      </c>
      <c r="E775" t="s">
        <v>17</v>
      </c>
      <c r="F775" s="1">
        <v>3</v>
      </c>
      <c r="G775" s="1">
        <v>2154.56</v>
      </c>
      <c r="H775" s="1">
        <v>570.29999999999995</v>
      </c>
    </row>
    <row r="776" spans="1:8" x14ac:dyDescent="0.25">
      <c r="A776" t="s">
        <v>802</v>
      </c>
      <c r="B776" s="2">
        <v>45732</v>
      </c>
      <c r="C776" t="s">
        <v>28</v>
      </c>
      <c r="D776" t="s">
        <v>25</v>
      </c>
      <c r="E776" t="s">
        <v>26</v>
      </c>
      <c r="F776" s="1">
        <v>9</v>
      </c>
      <c r="G776" s="1">
        <v>9863.9699999999993</v>
      </c>
      <c r="H776" s="1">
        <v>1934.5</v>
      </c>
    </row>
    <row r="777" spans="1:8" x14ac:dyDescent="0.25">
      <c r="A777" t="s">
        <v>803</v>
      </c>
      <c r="B777" s="2">
        <v>45752</v>
      </c>
      <c r="C777" t="s">
        <v>22</v>
      </c>
      <c r="D777" t="s">
        <v>33</v>
      </c>
      <c r="E777" t="s">
        <v>26</v>
      </c>
      <c r="F777" s="1">
        <v>9</v>
      </c>
      <c r="G777" s="1">
        <v>5966.15</v>
      </c>
      <c r="H777" s="1">
        <v>1636.21</v>
      </c>
    </row>
    <row r="778" spans="1:8" x14ac:dyDescent="0.25">
      <c r="A778" t="s">
        <v>804</v>
      </c>
      <c r="B778" s="2">
        <v>45869</v>
      </c>
      <c r="C778" t="s">
        <v>35</v>
      </c>
      <c r="D778" t="s">
        <v>16</v>
      </c>
      <c r="E778" t="s">
        <v>17</v>
      </c>
      <c r="F778" s="1">
        <v>1</v>
      </c>
      <c r="G778" s="1">
        <v>930.25</v>
      </c>
      <c r="H778" s="1">
        <v>295.48</v>
      </c>
    </row>
    <row r="779" spans="1:8" x14ac:dyDescent="0.25">
      <c r="A779" t="s">
        <v>805</v>
      </c>
      <c r="B779" s="2">
        <v>45725</v>
      </c>
      <c r="C779" t="s">
        <v>28</v>
      </c>
      <c r="D779" t="s">
        <v>30</v>
      </c>
      <c r="E779" t="s">
        <v>26</v>
      </c>
      <c r="F779" s="1">
        <v>5</v>
      </c>
      <c r="G779" s="1">
        <v>1123.75</v>
      </c>
      <c r="H779" s="1">
        <v>146.91999999999999</v>
      </c>
    </row>
    <row r="780" spans="1:8" x14ac:dyDescent="0.25">
      <c r="A780" t="s">
        <v>806</v>
      </c>
      <c r="B780" s="2">
        <v>45776</v>
      </c>
      <c r="C780" t="s">
        <v>28</v>
      </c>
      <c r="D780" t="s">
        <v>41</v>
      </c>
      <c r="E780" t="s">
        <v>11</v>
      </c>
      <c r="F780" s="1">
        <v>10</v>
      </c>
      <c r="G780" s="1">
        <v>3568.92</v>
      </c>
      <c r="H780" s="1">
        <v>831.92</v>
      </c>
    </row>
    <row r="781" spans="1:8" x14ac:dyDescent="0.25">
      <c r="A781" t="s">
        <v>807</v>
      </c>
      <c r="B781" s="2">
        <v>45902</v>
      </c>
      <c r="C781" t="s">
        <v>28</v>
      </c>
      <c r="D781" t="s">
        <v>16</v>
      </c>
      <c r="E781" t="s">
        <v>17</v>
      </c>
      <c r="F781" s="1">
        <v>1</v>
      </c>
      <c r="G781" s="1">
        <v>463.15</v>
      </c>
      <c r="H781" s="1">
        <v>123.1</v>
      </c>
    </row>
    <row r="782" spans="1:8" x14ac:dyDescent="0.25">
      <c r="A782" t="s">
        <v>808</v>
      </c>
      <c r="B782" s="2">
        <v>45900</v>
      </c>
      <c r="C782" t="s">
        <v>28</v>
      </c>
      <c r="D782" t="s">
        <v>23</v>
      </c>
      <c r="E782" t="s">
        <v>14</v>
      </c>
      <c r="F782" s="1">
        <v>6</v>
      </c>
      <c r="G782" s="1">
        <v>1569.44</v>
      </c>
      <c r="H782" s="1">
        <v>289.74</v>
      </c>
    </row>
    <row r="783" spans="1:8" x14ac:dyDescent="0.25">
      <c r="A783" t="s">
        <v>809</v>
      </c>
      <c r="B783" s="2">
        <v>45665</v>
      </c>
      <c r="C783" t="s">
        <v>22</v>
      </c>
      <c r="D783" t="s">
        <v>48</v>
      </c>
      <c r="E783" t="s">
        <v>17</v>
      </c>
      <c r="F783" s="1">
        <v>4</v>
      </c>
      <c r="G783" s="1">
        <v>348.26</v>
      </c>
      <c r="H783" s="1">
        <v>99.75</v>
      </c>
    </row>
    <row r="784" spans="1:8" x14ac:dyDescent="0.25">
      <c r="A784" t="s">
        <v>810</v>
      </c>
      <c r="B784" s="2">
        <v>45882</v>
      </c>
      <c r="C784" t="s">
        <v>35</v>
      </c>
      <c r="D784" t="s">
        <v>13</v>
      </c>
      <c r="E784" t="s">
        <v>14</v>
      </c>
      <c r="F784" s="1">
        <v>4</v>
      </c>
      <c r="G784" s="1">
        <v>3685.77</v>
      </c>
      <c r="H784" s="1">
        <v>360.68</v>
      </c>
    </row>
    <row r="785" spans="1:8" x14ac:dyDescent="0.25">
      <c r="A785" t="s">
        <v>811</v>
      </c>
      <c r="B785" s="2">
        <v>45969</v>
      </c>
      <c r="C785" t="s">
        <v>35</v>
      </c>
      <c r="D785" t="s">
        <v>30</v>
      </c>
      <c r="E785" t="s">
        <v>26</v>
      </c>
      <c r="F785" s="1">
        <v>4</v>
      </c>
      <c r="G785" s="1">
        <v>2166.7600000000002</v>
      </c>
      <c r="H785" s="1">
        <v>627.45000000000005</v>
      </c>
    </row>
    <row r="786" spans="1:8" x14ac:dyDescent="0.25">
      <c r="A786" t="s">
        <v>812</v>
      </c>
      <c r="B786" s="2">
        <v>45932</v>
      </c>
      <c r="C786" t="s">
        <v>9</v>
      </c>
      <c r="D786" t="s">
        <v>30</v>
      </c>
      <c r="E786" t="s">
        <v>26</v>
      </c>
      <c r="F786" s="1">
        <v>10</v>
      </c>
      <c r="G786" s="1">
        <v>11300.1</v>
      </c>
      <c r="H786" s="1">
        <v>2649</v>
      </c>
    </row>
    <row r="787" spans="1:8" x14ac:dyDescent="0.25">
      <c r="A787" t="s">
        <v>813</v>
      </c>
      <c r="B787" s="2">
        <v>45783</v>
      </c>
      <c r="C787" t="s">
        <v>35</v>
      </c>
      <c r="D787" t="s">
        <v>20</v>
      </c>
      <c r="E787" t="s">
        <v>11</v>
      </c>
      <c r="F787" s="1">
        <v>8</v>
      </c>
      <c r="G787" s="1">
        <v>8008.49</v>
      </c>
      <c r="H787" s="1">
        <v>732.39</v>
      </c>
    </row>
    <row r="788" spans="1:8" x14ac:dyDescent="0.25">
      <c r="A788" t="s">
        <v>814</v>
      </c>
      <c r="B788" s="2">
        <v>45683</v>
      </c>
      <c r="C788" t="s">
        <v>28</v>
      </c>
      <c r="D788" t="s">
        <v>41</v>
      </c>
      <c r="E788" t="s">
        <v>11</v>
      </c>
      <c r="F788" s="1">
        <v>7</v>
      </c>
      <c r="G788" s="1">
        <v>4504.82</v>
      </c>
      <c r="H788" s="1">
        <v>1127.44</v>
      </c>
    </row>
    <row r="789" spans="1:8" x14ac:dyDescent="0.25">
      <c r="A789" t="s">
        <v>815</v>
      </c>
      <c r="B789" s="2">
        <v>45804</v>
      </c>
      <c r="C789" t="s">
        <v>35</v>
      </c>
      <c r="D789" t="s">
        <v>30</v>
      </c>
      <c r="E789" t="s">
        <v>26</v>
      </c>
      <c r="F789" s="1">
        <v>7</v>
      </c>
      <c r="G789" s="1">
        <v>7469.4</v>
      </c>
      <c r="H789" s="1">
        <v>2157.86</v>
      </c>
    </row>
    <row r="790" spans="1:8" x14ac:dyDescent="0.25">
      <c r="A790" t="s">
        <v>816</v>
      </c>
      <c r="B790" s="2">
        <v>45922</v>
      </c>
      <c r="C790" t="s">
        <v>28</v>
      </c>
      <c r="D790" t="s">
        <v>55</v>
      </c>
      <c r="E790" t="s">
        <v>17</v>
      </c>
      <c r="F790" s="1">
        <v>5</v>
      </c>
      <c r="G790" s="1">
        <v>3775.52</v>
      </c>
      <c r="H790" s="1">
        <v>357.65</v>
      </c>
    </row>
    <row r="791" spans="1:8" x14ac:dyDescent="0.25">
      <c r="A791" t="s">
        <v>817</v>
      </c>
      <c r="B791" s="2">
        <v>45750</v>
      </c>
      <c r="C791" t="s">
        <v>28</v>
      </c>
      <c r="D791" t="s">
        <v>23</v>
      </c>
      <c r="E791" t="s">
        <v>14</v>
      </c>
      <c r="F791" s="1">
        <v>8</v>
      </c>
      <c r="G791" s="1">
        <v>1232.06</v>
      </c>
      <c r="H791" s="1">
        <v>265.11</v>
      </c>
    </row>
    <row r="792" spans="1:8" x14ac:dyDescent="0.25">
      <c r="A792" t="s">
        <v>818</v>
      </c>
      <c r="B792" s="2">
        <v>45960</v>
      </c>
      <c r="C792" t="s">
        <v>28</v>
      </c>
      <c r="D792" t="s">
        <v>57</v>
      </c>
      <c r="E792" t="s">
        <v>14</v>
      </c>
      <c r="F792" s="1">
        <v>6</v>
      </c>
      <c r="G792" s="1">
        <v>3411.11</v>
      </c>
      <c r="H792" s="1">
        <v>437.64</v>
      </c>
    </row>
    <row r="793" spans="1:8" x14ac:dyDescent="0.25">
      <c r="A793" t="s">
        <v>819</v>
      </c>
      <c r="B793" s="2">
        <v>46022</v>
      </c>
      <c r="C793" t="s">
        <v>28</v>
      </c>
      <c r="D793" t="s">
        <v>13</v>
      </c>
      <c r="E793" t="s">
        <v>14</v>
      </c>
      <c r="F793" s="1">
        <v>5</v>
      </c>
      <c r="G793" s="1">
        <v>2113.4299999999998</v>
      </c>
      <c r="H793" s="1">
        <v>539.16999999999996</v>
      </c>
    </row>
    <row r="794" spans="1:8" x14ac:dyDescent="0.25">
      <c r="A794" t="s">
        <v>820</v>
      </c>
      <c r="B794" s="2">
        <v>45701</v>
      </c>
      <c r="C794" t="s">
        <v>35</v>
      </c>
      <c r="D794" t="s">
        <v>10</v>
      </c>
      <c r="E794" t="s">
        <v>11</v>
      </c>
      <c r="F794" s="1">
        <v>2</v>
      </c>
      <c r="G794" s="1">
        <v>1724.32</v>
      </c>
      <c r="H794" s="1">
        <v>433.15</v>
      </c>
    </row>
    <row r="795" spans="1:8" x14ac:dyDescent="0.25">
      <c r="A795" t="s">
        <v>821</v>
      </c>
      <c r="B795" s="2">
        <v>45829</v>
      </c>
      <c r="C795" t="s">
        <v>28</v>
      </c>
      <c r="D795" t="s">
        <v>55</v>
      </c>
      <c r="E795" t="s">
        <v>17</v>
      </c>
      <c r="F795" s="1">
        <v>9</v>
      </c>
      <c r="G795" s="1">
        <v>4389.28</v>
      </c>
      <c r="H795" s="1">
        <v>1261.6099999999999</v>
      </c>
    </row>
    <row r="796" spans="1:8" x14ac:dyDescent="0.25">
      <c r="A796" t="s">
        <v>822</v>
      </c>
      <c r="B796" s="2">
        <v>45815</v>
      </c>
      <c r="C796" t="s">
        <v>22</v>
      </c>
      <c r="D796" t="s">
        <v>48</v>
      </c>
      <c r="E796" t="s">
        <v>17</v>
      </c>
      <c r="F796" s="1">
        <v>3</v>
      </c>
      <c r="G796" s="1">
        <v>2803.59</v>
      </c>
      <c r="H796" s="1">
        <v>263.13</v>
      </c>
    </row>
    <row r="797" spans="1:8" x14ac:dyDescent="0.25">
      <c r="A797" t="s">
        <v>823</v>
      </c>
      <c r="B797" s="2">
        <v>45761</v>
      </c>
      <c r="C797" t="s">
        <v>9</v>
      </c>
      <c r="D797" t="s">
        <v>57</v>
      </c>
      <c r="E797" t="s">
        <v>14</v>
      </c>
      <c r="F797" s="1">
        <v>3</v>
      </c>
      <c r="G797" s="1">
        <v>555.55999999999995</v>
      </c>
      <c r="H797" s="1">
        <v>64.180000000000007</v>
      </c>
    </row>
    <row r="798" spans="1:8" x14ac:dyDescent="0.25">
      <c r="A798" t="s">
        <v>824</v>
      </c>
      <c r="B798" s="2">
        <v>45660</v>
      </c>
      <c r="C798" t="s">
        <v>35</v>
      </c>
      <c r="D798" t="s">
        <v>33</v>
      </c>
      <c r="E798" t="s">
        <v>26</v>
      </c>
      <c r="F798" s="1">
        <v>8</v>
      </c>
      <c r="G798" s="1">
        <v>4978.17</v>
      </c>
      <c r="H798" s="1">
        <v>1068.48</v>
      </c>
    </row>
    <row r="799" spans="1:8" x14ac:dyDescent="0.25">
      <c r="A799" t="s">
        <v>825</v>
      </c>
      <c r="B799" s="2">
        <v>45884</v>
      </c>
      <c r="C799" t="s">
        <v>9</v>
      </c>
      <c r="D799" t="s">
        <v>48</v>
      </c>
      <c r="E799" t="s">
        <v>17</v>
      </c>
      <c r="F799" s="1">
        <v>10</v>
      </c>
      <c r="G799" s="1">
        <v>8083.91</v>
      </c>
      <c r="H799" s="1">
        <v>1637.07</v>
      </c>
    </row>
    <row r="800" spans="1:8" x14ac:dyDescent="0.25">
      <c r="A800" t="s">
        <v>826</v>
      </c>
      <c r="B800" s="2">
        <v>45764</v>
      </c>
      <c r="C800" t="s">
        <v>9</v>
      </c>
      <c r="D800" t="s">
        <v>10</v>
      </c>
      <c r="E800" t="s">
        <v>11</v>
      </c>
      <c r="F800" s="1">
        <v>9</v>
      </c>
      <c r="G800" s="1">
        <v>3328.47</v>
      </c>
      <c r="H800" s="1">
        <v>831.22</v>
      </c>
    </row>
    <row r="801" spans="1:8" x14ac:dyDescent="0.25">
      <c r="A801" t="s">
        <v>827</v>
      </c>
      <c r="B801" s="2">
        <v>45674</v>
      </c>
      <c r="C801" t="s">
        <v>22</v>
      </c>
      <c r="D801" t="s">
        <v>48</v>
      </c>
      <c r="E801" t="s">
        <v>17</v>
      </c>
      <c r="F801" s="1">
        <v>1</v>
      </c>
      <c r="G801" s="1">
        <v>801.27</v>
      </c>
      <c r="H801" s="1">
        <v>72.05</v>
      </c>
    </row>
    <row r="802" spans="1:8" x14ac:dyDescent="0.25">
      <c r="A802" t="s">
        <v>828</v>
      </c>
      <c r="B802" s="2">
        <v>45740</v>
      </c>
      <c r="C802" t="s">
        <v>22</v>
      </c>
      <c r="D802" t="s">
        <v>33</v>
      </c>
      <c r="E802" t="s">
        <v>26</v>
      </c>
      <c r="F802" s="1">
        <v>1</v>
      </c>
      <c r="G802" s="1">
        <v>175.22</v>
      </c>
      <c r="H802" s="1">
        <v>61.03</v>
      </c>
    </row>
    <row r="803" spans="1:8" x14ac:dyDescent="0.25">
      <c r="A803" t="s">
        <v>829</v>
      </c>
      <c r="B803" s="2">
        <v>45811</v>
      </c>
      <c r="C803" t="s">
        <v>22</v>
      </c>
      <c r="D803" t="s">
        <v>55</v>
      </c>
      <c r="E803" t="s">
        <v>17</v>
      </c>
      <c r="F803" s="1">
        <v>10</v>
      </c>
      <c r="G803" s="1">
        <v>4642.17</v>
      </c>
      <c r="H803" s="1">
        <v>416.3</v>
      </c>
    </row>
    <row r="804" spans="1:8" x14ac:dyDescent="0.25">
      <c r="A804" t="s">
        <v>830</v>
      </c>
      <c r="B804" s="2">
        <v>45691</v>
      </c>
      <c r="C804" t="s">
        <v>22</v>
      </c>
      <c r="D804" t="s">
        <v>30</v>
      </c>
      <c r="E804" t="s">
        <v>26</v>
      </c>
      <c r="F804" s="1">
        <v>2</v>
      </c>
      <c r="G804" s="1">
        <v>1844.42</v>
      </c>
      <c r="H804" s="1">
        <v>567.52</v>
      </c>
    </row>
    <row r="805" spans="1:8" x14ac:dyDescent="0.25">
      <c r="A805" t="s">
        <v>831</v>
      </c>
      <c r="B805" s="2">
        <v>45927</v>
      </c>
      <c r="C805" t="s">
        <v>35</v>
      </c>
      <c r="D805" t="s">
        <v>13</v>
      </c>
      <c r="E805" t="s">
        <v>14</v>
      </c>
      <c r="F805" s="1">
        <v>2</v>
      </c>
      <c r="G805" s="1">
        <v>1697.62</v>
      </c>
      <c r="H805" s="1">
        <v>261.58999999999997</v>
      </c>
    </row>
    <row r="806" spans="1:8" x14ac:dyDescent="0.25">
      <c r="A806" t="s">
        <v>832</v>
      </c>
      <c r="B806" s="2">
        <v>45980</v>
      </c>
      <c r="C806" t="s">
        <v>9</v>
      </c>
      <c r="D806" t="s">
        <v>16</v>
      </c>
      <c r="E806" t="s">
        <v>17</v>
      </c>
      <c r="F806" s="1">
        <v>4</v>
      </c>
      <c r="G806" s="1">
        <v>3015.45</v>
      </c>
      <c r="H806" s="1">
        <v>330.23</v>
      </c>
    </row>
    <row r="807" spans="1:8" x14ac:dyDescent="0.25">
      <c r="A807" t="s">
        <v>833</v>
      </c>
      <c r="B807" s="2">
        <v>45805</v>
      </c>
      <c r="C807" t="s">
        <v>35</v>
      </c>
      <c r="D807" t="s">
        <v>23</v>
      </c>
      <c r="E807" t="s">
        <v>14</v>
      </c>
      <c r="F807" s="1">
        <v>10</v>
      </c>
      <c r="G807" s="1">
        <v>11239.75</v>
      </c>
      <c r="H807" s="1">
        <v>3892.27</v>
      </c>
    </row>
    <row r="808" spans="1:8" x14ac:dyDescent="0.25">
      <c r="A808" t="s">
        <v>834</v>
      </c>
      <c r="B808" s="2">
        <v>45724</v>
      </c>
      <c r="C808" t="s">
        <v>35</v>
      </c>
      <c r="D808" t="s">
        <v>30</v>
      </c>
      <c r="E808" t="s">
        <v>26</v>
      </c>
      <c r="F808" s="1">
        <v>9</v>
      </c>
      <c r="G808" s="1">
        <v>6402.73</v>
      </c>
      <c r="H808" s="1">
        <v>1589.64</v>
      </c>
    </row>
    <row r="809" spans="1:8" x14ac:dyDescent="0.25">
      <c r="A809" t="s">
        <v>835</v>
      </c>
      <c r="B809" s="2">
        <v>45806</v>
      </c>
      <c r="C809" t="s">
        <v>28</v>
      </c>
      <c r="D809" t="s">
        <v>57</v>
      </c>
      <c r="E809" t="s">
        <v>14</v>
      </c>
      <c r="F809" s="1">
        <v>3</v>
      </c>
      <c r="G809" s="1">
        <v>3198.64</v>
      </c>
      <c r="H809" s="1">
        <v>456.88</v>
      </c>
    </row>
    <row r="810" spans="1:8" x14ac:dyDescent="0.25">
      <c r="A810" t="s">
        <v>836</v>
      </c>
      <c r="B810" s="2">
        <v>45764</v>
      </c>
      <c r="C810" t="s">
        <v>35</v>
      </c>
      <c r="D810" t="s">
        <v>10</v>
      </c>
      <c r="E810" t="s">
        <v>11</v>
      </c>
      <c r="F810" s="1">
        <v>1</v>
      </c>
      <c r="G810" s="1">
        <v>584.62</v>
      </c>
      <c r="H810" s="1">
        <v>172.53</v>
      </c>
    </row>
    <row r="811" spans="1:8" x14ac:dyDescent="0.25">
      <c r="A811" t="s">
        <v>837</v>
      </c>
      <c r="B811" s="2">
        <v>45766</v>
      </c>
      <c r="C811" t="s">
        <v>9</v>
      </c>
      <c r="D811" t="s">
        <v>13</v>
      </c>
      <c r="E811" t="s">
        <v>14</v>
      </c>
      <c r="F811" s="1">
        <v>6</v>
      </c>
      <c r="G811" s="1">
        <v>2712.59</v>
      </c>
      <c r="H811" s="1">
        <v>807.35</v>
      </c>
    </row>
    <row r="812" spans="1:8" x14ac:dyDescent="0.25">
      <c r="A812" t="s">
        <v>838</v>
      </c>
      <c r="B812" s="2">
        <v>45811</v>
      </c>
      <c r="C812" t="s">
        <v>22</v>
      </c>
      <c r="D812" t="s">
        <v>16</v>
      </c>
      <c r="E812" t="s">
        <v>17</v>
      </c>
      <c r="F812" s="1">
        <v>5</v>
      </c>
      <c r="G812" s="1">
        <v>1712.9</v>
      </c>
      <c r="H812" s="1">
        <v>168.41</v>
      </c>
    </row>
    <row r="813" spans="1:8" x14ac:dyDescent="0.25">
      <c r="A813" t="s">
        <v>839</v>
      </c>
      <c r="B813" s="2">
        <v>45973</v>
      </c>
      <c r="C813" t="s">
        <v>9</v>
      </c>
      <c r="D813" t="s">
        <v>10</v>
      </c>
      <c r="E813" t="s">
        <v>11</v>
      </c>
      <c r="F813" s="1">
        <v>6</v>
      </c>
      <c r="G813" s="1">
        <v>2655.39</v>
      </c>
      <c r="H813" s="1">
        <v>731.79</v>
      </c>
    </row>
    <row r="814" spans="1:8" x14ac:dyDescent="0.25">
      <c r="A814" t="s">
        <v>840</v>
      </c>
      <c r="B814" s="2">
        <v>45903</v>
      </c>
      <c r="C814" t="s">
        <v>35</v>
      </c>
      <c r="D814" t="s">
        <v>48</v>
      </c>
      <c r="E814" t="s">
        <v>17</v>
      </c>
      <c r="F814" s="1">
        <v>6</v>
      </c>
      <c r="G814" s="1">
        <v>6053.39</v>
      </c>
      <c r="H814" s="1">
        <v>1991.66</v>
      </c>
    </row>
    <row r="815" spans="1:8" x14ac:dyDescent="0.25">
      <c r="A815" t="s">
        <v>841</v>
      </c>
      <c r="B815" s="2">
        <v>45932</v>
      </c>
      <c r="C815" t="s">
        <v>22</v>
      </c>
      <c r="D815" t="s">
        <v>41</v>
      </c>
      <c r="E815" t="s">
        <v>11</v>
      </c>
      <c r="F815" s="1">
        <v>3</v>
      </c>
      <c r="G815" s="1">
        <v>1811.16</v>
      </c>
      <c r="H815" s="1">
        <v>451.6</v>
      </c>
    </row>
    <row r="816" spans="1:8" x14ac:dyDescent="0.25">
      <c r="A816" t="s">
        <v>842</v>
      </c>
      <c r="B816" s="2">
        <v>46005</v>
      </c>
      <c r="C816" t="s">
        <v>22</v>
      </c>
      <c r="D816" t="s">
        <v>57</v>
      </c>
      <c r="E816" t="s">
        <v>14</v>
      </c>
      <c r="F816" s="1">
        <v>1</v>
      </c>
      <c r="G816" s="1">
        <v>1010.37</v>
      </c>
      <c r="H816" s="1">
        <v>162.49</v>
      </c>
    </row>
    <row r="817" spans="1:8" x14ac:dyDescent="0.25">
      <c r="A817" t="s">
        <v>843</v>
      </c>
      <c r="B817" s="2">
        <v>45839</v>
      </c>
      <c r="C817" t="s">
        <v>9</v>
      </c>
      <c r="D817" t="s">
        <v>10</v>
      </c>
      <c r="E817" t="s">
        <v>11</v>
      </c>
      <c r="F817" s="1">
        <v>10</v>
      </c>
      <c r="G817" s="1">
        <v>8383.17</v>
      </c>
      <c r="H817" s="1">
        <v>2480.37</v>
      </c>
    </row>
    <row r="818" spans="1:8" x14ac:dyDescent="0.25">
      <c r="A818" t="s">
        <v>844</v>
      </c>
      <c r="B818" s="2">
        <v>45931</v>
      </c>
      <c r="C818" t="s">
        <v>28</v>
      </c>
      <c r="D818" t="s">
        <v>55</v>
      </c>
      <c r="E818" t="s">
        <v>17</v>
      </c>
      <c r="F818" s="1">
        <v>1</v>
      </c>
      <c r="G818" s="1">
        <v>440.03</v>
      </c>
      <c r="H818" s="1">
        <v>79.78</v>
      </c>
    </row>
    <row r="819" spans="1:8" x14ac:dyDescent="0.25">
      <c r="A819" t="s">
        <v>845</v>
      </c>
      <c r="B819" s="2">
        <v>45815</v>
      </c>
      <c r="C819" t="s">
        <v>22</v>
      </c>
      <c r="D819" t="s">
        <v>13</v>
      </c>
      <c r="E819" t="s">
        <v>14</v>
      </c>
      <c r="F819" s="1">
        <v>10</v>
      </c>
      <c r="G819" s="1">
        <v>1843.71</v>
      </c>
      <c r="H819" s="1">
        <v>536.95000000000005</v>
      </c>
    </row>
    <row r="820" spans="1:8" x14ac:dyDescent="0.25">
      <c r="A820" t="s">
        <v>846</v>
      </c>
      <c r="B820" s="2">
        <v>45848</v>
      </c>
      <c r="C820" t="s">
        <v>35</v>
      </c>
      <c r="D820" t="s">
        <v>20</v>
      </c>
      <c r="E820" t="s">
        <v>11</v>
      </c>
      <c r="F820" s="1">
        <v>7</v>
      </c>
      <c r="G820" s="1">
        <v>1048.72</v>
      </c>
      <c r="H820" s="1">
        <v>332.24</v>
      </c>
    </row>
    <row r="821" spans="1:8" x14ac:dyDescent="0.25">
      <c r="A821" t="s">
        <v>847</v>
      </c>
      <c r="B821" s="2">
        <v>45677</v>
      </c>
      <c r="C821" t="s">
        <v>28</v>
      </c>
      <c r="D821" t="s">
        <v>33</v>
      </c>
      <c r="E821" t="s">
        <v>26</v>
      </c>
      <c r="F821" s="1">
        <v>9</v>
      </c>
      <c r="G821" s="1">
        <v>3578.99</v>
      </c>
      <c r="H821" s="1">
        <v>394.77</v>
      </c>
    </row>
    <row r="822" spans="1:8" x14ac:dyDescent="0.25">
      <c r="A822" t="s">
        <v>848</v>
      </c>
      <c r="B822" s="2">
        <v>45914</v>
      </c>
      <c r="C822" t="s">
        <v>28</v>
      </c>
      <c r="D822" t="s">
        <v>20</v>
      </c>
      <c r="E822" t="s">
        <v>11</v>
      </c>
      <c r="F822" s="1">
        <v>9</v>
      </c>
      <c r="G822" s="1">
        <v>708.07</v>
      </c>
      <c r="H822" s="1">
        <v>148.91999999999999</v>
      </c>
    </row>
    <row r="823" spans="1:8" x14ac:dyDescent="0.25">
      <c r="A823" t="s">
        <v>849</v>
      </c>
      <c r="B823" s="2">
        <v>45825</v>
      </c>
      <c r="C823" t="s">
        <v>28</v>
      </c>
      <c r="D823" t="s">
        <v>55</v>
      </c>
      <c r="E823" t="s">
        <v>17</v>
      </c>
      <c r="F823" s="1">
        <v>8</v>
      </c>
      <c r="G823" s="1">
        <v>7138.46</v>
      </c>
      <c r="H823" s="1">
        <v>1580.31</v>
      </c>
    </row>
    <row r="824" spans="1:8" x14ac:dyDescent="0.25">
      <c r="A824" t="s">
        <v>850</v>
      </c>
      <c r="B824" s="2">
        <v>45856</v>
      </c>
      <c r="C824" t="s">
        <v>9</v>
      </c>
      <c r="D824" t="s">
        <v>41</v>
      </c>
      <c r="E824" t="s">
        <v>11</v>
      </c>
      <c r="F824" s="1">
        <v>3</v>
      </c>
      <c r="G824" s="1">
        <v>857.9</v>
      </c>
      <c r="H824" s="1">
        <v>77.099999999999994</v>
      </c>
    </row>
    <row r="825" spans="1:8" x14ac:dyDescent="0.25">
      <c r="A825" t="s">
        <v>851</v>
      </c>
      <c r="B825" s="2">
        <v>45702</v>
      </c>
      <c r="C825" t="s">
        <v>22</v>
      </c>
      <c r="D825" t="s">
        <v>20</v>
      </c>
      <c r="E825" t="s">
        <v>11</v>
      </c>
      <c r="F825" s="1">
        <v>1</v>
      </c>
      <c r="G825" s="1">
        <v>840.11</v>
      </c>
      <c r="H825" s="1">
        <v>202.01</v>
      </c>
    </row>
    <row r="826" spans="1:8" x14ac:dyDescent="0.25">
      <c r="A826" t="s">
        <v>852</v>
      </c>
      <c r="B826" s="2">
        <v>45817</v>
      </c>
      <c r="C826" t="s">
        <v>9</v>
      </c>
      <c r="D826" t="s">
        <v>13</v>
      </c>
      <c r="E826" t="s">
        <v>14</v>
      </c>
      <c r="F826" s="1">
        <v>2</v>
      </c>
      <c r="G826" s="1">
        <v>1297.33</v>
      </c>
      <c r="H826" s="1">
        <v>334.61</v>
      </c>
    </row>
    <row r="827" spans="1:8" x14ac:dyDescent="0.25">
      <c r="A827" t="s">
        <v>853</v>
      </c>
      <c r="B827" s="2">
        <v>45799</v>
      </c>
      <c r="C827" t="s">
        <v>22</v>
      </c>
      <c r="D827" t="s">
        <v>25</v>
      </c>
      <c r="E827" t="s">
        <v>26</v>
      </c>
      <c r="F827" s="1">
        <v>4</v>
      </c>
      <c r="G827" s="1">
        <v>1676.05</v>
      </c>
      <c r="H827" s="1">
        <v>221.22</v>
      </c>
    </row>
    <row r="828" spans="1:8" x14ac:dyDescent="0.25">
      <c r="A828" t="s">
        <v>854</v>
      </c>
      <c r="B828" s="2">
        <v>45716</v>
      </c>
      <c r="C828" t="s">
        <v>9</v>
      </c>
      <c r="D828" t="s">
        <v>23</v>
      </c>
      <c r="E828" t="s">
        <v>14</v>
      </c>
      <c r="F828" s="1">
        <v>2</v>
      </c>
      <c r="G828" s="1">
        <v>727.1</v>
      </c>
      <c r="H828" s="1">
        <v>89.09</v>
      </c>
    </row>
    <row r="829" spans="1:8" x14ac:dyDescent="0.25">
      <c r="A829" t="s">
        <v>855</v>
      </c>
      <c r="B829" s="2">
        <v>45730</v>
      </c>
      <c r="C829" t="s">
        <v>22</v>
      </c>
      <c r="D829" t="s">
        <v>10</v>
      </c>
      <c r="E829" t="s">
        <v>11</v>
      </c>
      <c r="F829" s="1">
        <v>9</v>
      </c>
      <c r="G829" s="1">
        <v>4075.79</v>
      </c>
      <c r="H829" s="1">
        <v>676.54</v>
      </c>
    </row>
    <row r="830" spans="1:8" x14ac:dyDescent="0.25">
      <c r="A830" t="s">
        <v>856</v>
      </c>
      <c r="B830" s="2">
        <v>45934</v>
      </c>
      <c r="C830" t="s">
        <v>35</v>
      </c>
      <c r="D830" t="s">
        <v>48</v>
      </c>
      <c r="E830" t="s">
        <v>17</v>
      </c>
      <c r="F830" s="1">
        <v>2</v>
      </c>
      <c r="G830" s="1">
        <v>816.17</v>
      </c>
      <c r="H830" s="1">
        <v>261.91000000000003</v>
      </c>
    </row>
    <row r="831" spans="1:8" x14ac:dyDescent="0.25">
      <c r="A831" t="s">
        <v>857</v>
      </c>
      <c r="B831" s="2">
        <v>45712</v>
      </c>
      <c r="C831" t="s">
        <v>35</v>
      </c>
      <c r="D831" t="s">
        <v>10</v>
      </c>
      <c r="E831" t="s">
        <v>11</v>
      </c>
      <c r="F831" s="1">
        <v>1</v>
      </c>
      <c r="G831" s="1">
        <v>591.35</v>
      </c>
      <c r="H831" s="1">
        <v>155.16</v>
      </c>
    </row>
    <row r="832" spans="1:8" x14ac:dyDescent="0.25">
      <c r="A832" t="s">
        <v>858</v>
      </c>
      <c r="B832" s="2">
        <v>45961</v>
      </c>
      <c r="C832" t="s">
        <v>35</v>
      </c>
      <c r="D832" t="s">
        <v>10</v>
      </c>
      <c r="E832" t="s">
        <v>11</v>
      </c>
      <c r="F832" s="1">
        <v>7</v>
      </c>
      <c r="G832" s="1">
        <v>3504.93</v>
      </c>
      <c r="H832" s="1">
        <v>947.25</v>
      </c>
    </row>
    <row r="833" spans="1:8" x14ac:dyDescent="0.25">
      <c r="A833" t="s">
        <v>859</v>
      </c>
      <c r="B833" s="2">
        <v>46001</v>
      </c>
      <c r="C833" t="s">
        <v>9</v>
      </c>
      <c r="D833" t="s">
        <v>30</v>
      </c>
      <c r="E833" t="s">
        <v>26</v>
      </c>
      <c r="F833" s="1">
        <v>6</v>
      </c>
      <c r="G833" s="1">
        <v>5940.35</v>
      </c>
      <c r="H833" s="1">
        <v>1618.64</v>
      </c>
    </row>
    <row r="834" spans="1:8" x14ac:dyDescent="0.25">
      <c r="A834" t="s">
        <v>860</v>
      </c>
      <c r="B834" s="2">
        <v>46015</v>
      </c>
      <c r="C834" t="s">
        <v>35</v>
      </c>
      <c r="D834" t="s">
        <v>23</v>
      </c>
      <c r="E834" t="s">
        <v>14</v>
      </c>
      <c r="F834" s="1">
        <v>3</v>
      </c>
      <c r="G834" s="1">
        <v>470.56</v>
      </c>
      <c r="H834" s="1">
        <v>139.58000000000001</v>
      </c>
    </row>
    <row r="835" spans="1:8" x14ac:dyDescent="0.25">
      <c r="A835" t="s">
        <v>861</v>
      </c>
      <c r="B835" s="2">
        <v>45896</v>
      </c>
      <c r="C835" t="s">
        <v>35</v>
      </c>
      <c r="D835" t="s">
        <v>20</v>
      </c>
      <c r="E835" t="s">
        <v>11</v>
      </c>
      <c r="F835" s="1">
        <v>5</v>
      </c>
      <c r="G835" s="1">
        <v>4185.75</v>
      </c>
      <c r="H835" s="1">
        <v>1137.51</v>
      </c>
    </row>
    <row r="836" spans="1:8" x14ac:dyDescent="0.25">
      <c r="A836" t="s">
        <v>862</v>
      </c>
      <c r="B836" s="2">
        <v>45844</v>
      </c>
      <c r="C836" t="s">
        <v>35</v>
      </c>
      <c r="D836" t="s">
        <v>48</v>
      </c>
      <c r="E836" t="s">
        <v>17</v>
      </c>
      <c r="F836" s="1">
        <v>3</v>
      </c>
      <c r="G836" s="1">
        <v>3120.78</v>
      </c>
      <c r="H836" s="1">
        <v>769.5</v>
      </c>
    </row>
    <row r="837" spans="1:8" x14ac:dyDescent="0.25">
      <c r="A837" t="s">
        <v>863</v>
      </c>
      <c r="B837" s="2">
        <v>45890</v>
      </c>
      <c r="C837" t="s">
        <v>35</v>
      </c>
      <c r="D837" t="s">
        <v>16</v>
      </c>
      <c r="E837" t="s">
        <v>17</v>
      </c>
      <c r="F837" s="1">
        <v>6</v>
      </c>
      <c r="G837" s="1">
        <v>5742.57</v>
      </c>
      <c r="H837" s="1">
        <v>1827.57</v>
      </c>
    </row>
    <row r="838" spans="1:8" x14ac:dyDescent="0.25">
      <c r="A838" t="s">
        <v>864</v>
      </c>
      <c r="B838" s="2">
        <v>45745</v>
      </c>
      <c r="C838" t="s">
        <v>22</v>
      </c>
      <c r="D838" t="s">
        <v>10</v>
      </c>
      <c r="E838" t="s">
        <v>11</v>
      </c>
      <c r="F838" s="1">
        <v>8</v>
      </c>
      <c r="G838" s="1">
        <v>1438.56</v>
      </c>
      <c r="H838" s="1">
        <v>301</v>
      </c>
    </row>
    <row r="839" spans="1:8" x14ac:dyDescent="0.25">
      <c r="A839" t="s">
        <v>865</v>
      </c>
      <c r="B839" s="2">
        <v>45712</v>
      </c>
      <c r="C839" t="s">
        <v>22</v>
      </c>
      <c r="D839" t="s">
        <v>25</v>
      </c>
      <c r="E839" t="s">
        <v>26</v>
      </c>
      <c r="F839" s="1">
        <v>10</v>
      </c>
      <c r="G839" s="1">
        <v>1965.03</v>
      </c>
      <c r="H839" s="1">
        <v>211.81</v>
      </c>
    </row>
    <row r="840" spans="1:8" x14ac:dyDescent="0.25">
      <c r="A840" t="s">
        <v>866</v>
      </c>
      <c r="B840" s="2">
        <v>45780</v>
      </c>
      <c r="C840" t="s">
        <v>28</v>
      </c>
      <c r="D840" t="s">
        <v>20</v>
      </c>
      <c r="E840" t="s">
        <v>11</v>
      </c>
      <c r="F840" s="1">
        <v>9</v>
      </c>
      <c r="G840" s="1">
        <v>5221.09</v>
      </c>
      <c r="H840" s="1">
        <v>1250.1600000000001</v>
      </c>
    </row>
    <row r="841" spans="1:8" x14ac:dyDescent="0.25">
      <c r="A841" t="s">
        <v>867</v>
      </c>
      <c r="B841" s="2">
        <v>46013</v>
      </c>
      <c r="C841" t="s">
        <v>35</v>
      </c>
      <c r="D841" t="s">
        <v>55</v>
      </c>
      <c r="E841" t="s">
        <v>17</v>
      </c>
      <c r="F841" s="1">
        <v>7</v>
      </c>
      <c r="G841" s="1">
        <v>881.78</v>
      </c>
      <c r="H841" s="1">
        <v>120.12</v>
      </c>
    </row>
    <row r="842" spans="1:8" x14ac:dyDescent="0.25">
      <c r="A842" t="s">
        <v>868</v>
      </c>
      <c r="B842" s="2">
        <v>45997</v>
      </c>
      <c r="C842" t="s">
        <v>9</v>
      </c>
      <c r="D842" t="s">
        <v>23</v>
      </c>
      <c r="E842" t="s">
        <v>14</v>
      </c>
      <c r="F842" s="1">
        <v>6</v>
      </c>
      <c r="G842" s="1">
        <v>4057.24</v>
      </c>
      <c r="H842" s="1">
        <v>583.28</v>
      </c>
    </row>
    <row r="843" spans="1:8" x14ac:dyDescent="0.25">
      <c r="A843" t="s">
        <v>869</v>
      </c>
      <c r="B843" s="2">
        <v>45707</v>
      </c>
      <c r="C843" t="s">
        <v>35</v>
      </c>
      <c r="D843" t="s">
        <v>13</v>
      </c>
      <c r="E843" t="s">
        <v>14</v>
      </c>
      <c r="F843" s="1">
        <v>10</v>
      </c>
      <c r="G843" s="1">
        <v>7354.87</v>
      </c>
      <c r="H843" s="1">
        <v>1234.53</v>
      </c>
    </row>
    <row r="844" spans="1:8" x14ac:dyDescent="0.25">
      <c r="A844" t="s">
        <v>870</v>
      </c>
      <c r="B844" s="2">
        <v>45963</v>
      </c>
      <c r="C844" t="s">
        <v>35</v>
      </c>
      <c r="D844" t="s">
        <v>55</v>
      </c>
      <c r="E844" t="s">
        <v>17</v>
      </c>
      <c r="F844" s="1">
        <v>7</v>
      </c>
      <c r="G844" s="1">
        <v>910.34</v>
      </c>
      <c r="H844" s="1">
        <v>99.56</v>
      </c>
    </row>
    <row r="845" spans="1:8" x14ac:dyDescent="0.25">
      <c r="A845" t="s">
        <v>871</v>
      </c>
      <c r="B845" s="2">
        <v>45955</v>
      </c>
      <c r="C845" t="s">
        <v>9</v>
      </c>
      <c r="D845" t="s">
        <v>30</v>
      </c>
      <c r="E845" t="s">
        <v>26</v>
      </c>
      <c r="F845" s="1">
        <v>1</v>
      </c>
      <c r="G845" s="1">
        <v>154.11000000000001</v>
      </c>
      <c r="H845" s="1">
        <v>46.33</v>
      </c>
    </row>
    <row r="846" spans="1:8" x14ac:dyDescent="0.25">
      <c r="A846" t="s">
        <v>872</v>
      </c>
      <c r="B846" s="2">
        <v>45973</v>
      </c>
      <c r="C846" t="s">
        <v>35</v>
      </c>
      <c r="D846" t="s">
        <v>16</v>
      </c>
      <c r="E846" t="s">
        <v>17</v>
      </c>
      <c r="F846" s="1">
        <v>3</v>
      </c>
      <c r="G846" s="1">
        <v>1712.76</v>
      </c>
      <c r="H846" s="1">
        <v>271.83</v>
      </c>
    </row>
    <row r="847" spans="1:8" x14ac:dyDescent="0.25">
      <c r="A847" t="s">
        <v>873</v>
      </c>
      <c r="B847" s="2">
        <v>46005</v>
      </c>
      <c r="C847" t="s">
        <v>22</v>
      </c>
      <c r="D847" t="s">
        <v>48</v>
      </c>
      <c r="E847" t="s">
        <v>17</v>
      </c>
      <c r="F847" s="1">
        <v>6</v>
      </c>
      <c r="G847" s="1">
        <v>2368.17</v>
      </c>
      <c r="H847" s="1">
        <v>697.36</v>
      </c>
    </row>
    <row r="848" spans="1:8" x14ac:dyDescent="0.25">
      <c r="A848" t="s">
        <v>874</v>
      </c>
      <c r="B848" s="2">
        <v>45971</v>
      </c>
      <c r="C848" t="s">
        <v>35</v>
      </c>
      <c r="D848" t="s">
        <v>23</v>
      </c>
      <c r="E848" t="s">
        <v>14</v>
      </c>
      <c r="F848" s="1">
        <v>6</v>
      </c>
      <c r="G848" s="1">
        <v>7133</v>
      </c>
      <c r="H848" s="1">
        <v>1692.92</v>
      </c>
    </row>
    <row r="849" spans="1:8" x14ac:dyDescent="0.25">
      <c r="A849" t="s">
        <v>875</v>
      </c>
      <c r="B849" s="2">
        <v>45685</v>
      </c>
      <c r="C849" t="s">
        <v>9</v>
      </c>
      <c r="D849" t="s">
        <v>55</v>
      </c>
      <c r="E849" t="s">
        <v>17</v>
      </c>
      <c r="F849" s="1">
        <v>1</v>
      </c>
      <c r="G849" s="1">
        <v>474.61</v>
      </c>
      <c r="H849" s="1">
        <v>108.31</v>
      </c>
    </row>
    <row r="850" spans="1:8" x14ac:dyDescent="0.25">
      <c r="A850" t="s">
        <v>876</v>
      </c>
      <c r="B850" s="2">
        <v>46017</v>
      </c>
      <c r="C850" t="s">
        <v>35</v>
      </c>
      <c r="D850" t="s">
        <v>33</v>
      </c>
      <c r="E850" t="s">
        <v>26</v>
      </c>
      <c r="F850" s="1">
        <v>5</v>
      </c>
      <c r="G850" s="1">
        <v>5227.66</v>
      </c>
      <c r="H850" s="1">
        <v>750.25</v>
      </c>
    </row>
    <row r="851" spans="1:8" x14ac:dyDescent="0.25">
      <c r="A851" t="s">
        <v>877</v>
      </c>
      <c r="B851" s="2">
        <v>45766</v>
      </c>
      <c r="C851" t="s">
        <v>28</v>
      </c>
      <c r="D851" t="s">
        <v>25</v>
      </c>
      <c r="E851" t="s">
        <v>26</v>
      </c>
      <c r="F851" s="1">
        <v>7</v>
      </c>
      <c r="G851" s="1">
        <v>3618.56</v>
      </c>
      <c r="H851" s="1">
        <v>714.67</v>
      </c>
    </row>
    <row r="852" spans="1:8" x14ac:dyDescent="0.25">
      <c r="A852" t="s">
        <v>878</v>
      </c>
      <c r="B852" s="2">
        <v>45842</v>
      </c>
      <c r="C852" t="s">
        <v>35</v>
      </c>
      <c r="D852" t="s">
        <v>13</v>
      </c>
      <c r="E852" t="s">
        <v>14</v>
      </c>
      <c r="F852" s="1">
        <v>4</v>
      </c>
      <c r="G852" s="1">
        <v>2754.94</v>
      </c>
      <c r="H852" s="1">
        <v>847.69</v>
      </c>
    </row>
    <row r="853" spans="1:8" x14ac:dyDescent="0.25">
      <c r="A853" t="s">
        <v>879</v>
      </c>
      <c r="B853" s="2">
        <v>45666</v>
      </c>
      <c r="C853" t="s">
        <v>28</v>
      </c>
      <c r="D853" t="s">
        <v>55</v>
      </c>
      <c r="E853" t="s">
        <v>17</v>
      </c>
      <c r="F853" s="1">
        <v>3</v>
      </c>
      <c r="G853" s="1">
        <v>613.26</v>
      </c>
      <c r="H853" s="1">
        <v>60.94</v>
      </c>
    </row>
    <row r="854" spans="1:8" x14ac:dyDescent="0.25">
      <c r="A854" t="s">
        <v>880</v>
      </c>
      <c r="B854" s="2">
        <v>45728</v>
      </c>
      <c r="C854" t="s">
        <v>35</v>
      </c>
      <c r="D854" t="s">
        <v>23</v>
      </c>
      <c r="E854" t="s">
        <v>14</v>
      </c>
      <c r="F854" s="1">
        <v>7</v>
      </c>
      <c r="G854" s="1">
        <v>8198.5499999999993</v>
      </c>
      <c r="H854" s="1">
        <v>956.44</v>
      </c>
    </row>
    <row r="855" spans="1:8" x14ac:dyDescent="0.25">
      <c r="A855" t="s">
        <v>881</v>
      </c>
      <c r="B855" s="2">
        <v>45890</v>
      </c>
      <c r="C855" t="s">
        <v>35</v>
      </c>
      <c r="D855" t="s">
        <v>23</v>
      </c>
      <c r="E855" t="s">
        <v>14</v>
      </c>
      <c r="F855" s="1">
        <v>10</v>
      </c>
      <c r="G855" s="1">
        <v>11198.58</v>
      </c>
      <c r="H855" s="1">
        <v>2780.35</v>
      </c>
    </row>
    <row r="856" spans="1:8" x14ac:dyDescent="0.25">
      <c r="A856" t="s">
        <v>882</v>
      </c>
      <c r="B856" s="2">
        <v>45661</v>
      </c>
      <c r="C856" t="s">
        <v>35</v>
      </c>
      <c r="D856" t="s">
        <v>57</v>
      </c>
      <c r="E856" t="s">
        <v>14</v>
      </c>
      <c r="F856" s="1">
        <v>6</v>
      </c>
      <c r="G856" s="1">
        <v>1857.61</v>
      </c>
      <c r="H856" s="1">
        <v>361.66</v>
      </c>
    </row>
    <row r="857" spans="1:8" x14ac:dyDescent="0.25">
      <c r="A857" t="s">
        <v>883</v>
      </c>
      <c r="B857" s="2">
        <v>45953</v>
      </c>
      <c r="C857" t="s">
        <v>22</v>
      </c>
      <c r="D857" t="s">
        <v>16</v>
      </c>
      <c r="E857" t="s">
        <v>17</v>
      </c>
      <c r="F857" s="1">
        <v>9</v>
      </c>
      <c r="G857" s="1">
        <v>3236.74</v>
      </c>
      <c r="H857" s="1">
        <v>1068.68</v>
      </c>
    </row>
    <row r="858" spans="1:8" x14ac:dyDescent="0.25">
      <c r="A858" t="s">
        <v>884</v>
      </c>
      <c r="B858" s="2">
        <v>45955</v>
      </c>
      <c r="C858" t="s">
        <v>35</v>
      </c>
      <c r="D858" t="s">
        <v>10</v>
      </c>
      <c r="E858" t="s">
        <v>11</v>
      </c>
      <c r="F858" s="1">
        <v>10</v>
      </c>
      <c r="G858" s="1">
        <v>6057.58</v>
      </c>
      <c r="H858" s="1">
        <v>1087.43</v>
      </c>
    </row>
    <row r="859" spans="1:8" x14ac:dyDescent="0.25">
      <c r="A859" t="s">
        <v>885</v>
      </c>
      <c r="B859" s="2">
        <v>45801</v>
      </c>
      <c r="C859" t="s">
        <v>35</v>
      </c>
      <c r="D859" t="s">
        <v>10</v>
      </c>
      <c r="E859" t="s">
        <v>11</v>
      </c>
      <c r="F859" s="1">
        <v>9</v>
      </c>
      <c r="G859" s="1">
        <v>10630.04</v>
      </c>
      <c r="H859" s="1">
        <v>3673.64</v>
      </c>
    </row>
    <row r="860" spans="1:8" x14ac:dyDescent="0.25">
      <c r="A860" t="s">
        <v>886</v>
      </c>
      <c r="B860" s="2">
        <v>45997</v>
      </c>
      <c r="C860" t="s">
        <v>9</v>
      </c>
      <c r="D860" t="s">
        <v>41</v>
      </c>
      <c r="E860" t="s">
        <v>11</v>
      </c>
      <c r="F860" s="1">
        <v>10</v>
      </c>
      <c r="G860" s="1">
        <v>1517.13</v>
      </c>
      <c r="H860" s="1">
        <v>314.89999999999998</v>
      </c>
    </row>
    <row r="861" spans="1:8" x14ac:dyDescent="0.25">
      <c r="A861" t="s">
        <v>887</v>
      </c>
      <c r="B861" s="2">
        <v>45663</v>
      </c>
      <c r="C861" t="s">
        <v>35</v>
      </c>
      <c r="D861" t="s">
        <v>25</v>
      </c>
      <c r="E861" t="s">
        <v>26</v>
      </c>
      <c r="F861" s="1">
        <v>1</v>
      </c>
      <c r="G861" s="1">
        <v>1089.1199999999999</v>
      </c>
      <c r="H861" s="1">
        <v>244.46</v>
      </c>
    </row>
    <row r="862" spans="1:8" x14ac:dyDescent="0.25">
      <c r="A862" t="s">
        <v>888</v>
      </c>
      <c r="B862" s="2">
        <v>45838</v>
      </c>
      <c r="C862" t="s">
        <v>22</v>
      </c>
      <c r="D862" t="s">
        <v>23</v>
      </c>
      <c r="E862" t="s">
        <v>14</v>
      </c>
      <c r="F862" s="1">
        <v>8</v>
      </c>
      <c r="G862" s="1">
        <v>5680.48</v>
      </c>
      <c r="H862" s="1">
        <v>962.89</v>
      </c>
    </row>
    <row r="863" spans="1:8" x14ac:dyDescent="0.25">
      <c r="A863" t="s">
        <v>889</v>
      </c>
      <c r="B863" s="2">
        <v>45813</v>
      </c>
      <c r="C863" t="s">
        <v>22</v>
      </c>
      <c r="D863" t="s">
        <v>33</v>
      </c>
      <c r="E863" t="s">
        <v>26</v>
      </c>
      <c r="F863" s="1">
        <v>1</v>
      </c>
      <c r="G863" s="1">
        <v>849.31</v>
      </c>
      <c r="H863" s="1">
        <v>204.99</v>
      </c>
    </row>
    <row r="864" spans="1:8" x14ac:dyDescent="0.25">
      <c r="A864" t="s">
        <v>890</v>
      </c>
      <c r="B864" s="2">
        <v>45994</v>
      </c>
      <c r="C864" t="s">
        <v>22</v>
      </c>
      <c r="D864" t="s">
        <v>41</v>
      </c>
      <c r="E864" t="s">
        <v>11</v>
      </c>
      <c r="F864" s="1">
        <v>8</v>
      </c>
      <c r="G864" s="1">
        <v>5718.9</v>
      </c>
      <c r="H864" s="1">
        <v>1342.07</v>
      </c>
    </row>
    <row r="865" spans="1:8" x14ac:dyDescent="0.25">
      <c r="A865" t="s">
        <v>891</v>
      </c>
      <c r="B865" s="2">
        <v>45800</v>
      </c>
      <c r="C865" t="s">
        <v>22</v>
      </c>
      <c r="D865" t="s">
        <v>20</v>
      </c>
      <c r="E865" t="s">
        <v>11</v>
      </c>
      <c r="F865" s="1">
        <v>8</v>
      </c>
      <c r="G865" s="1">
        <v>1159.0899999999999</v>
      </c>
      <c r="H865" s="1">
        <v>250.96</v>
      </c>
    </row>
    <row r="866" spans="1:8" x14ac:dyDescent="0.25">
      <c r="A866" t="s">
        <v>892</v>
      </c>
      <c r="B866" s="2">
        <v>45715</v>
      </c>
      <c r="C866" t="s">
        <v>28</v>
      </c>
      <c r="D866" t="s">
        <v>16</v>
      </c>
      <c r="E866" t="s">
        <v>17</v>
      </c>
      <c r="F866" s="1">
        <v>5</v>
      </c>
      <c r="G866" s="1">
        <v>1832.5</v>
      </c>
      <c r="H866" s="1">
        <v>273.74</v>
      </c>
    </row>
    <row r="867" spans="1:8" x14ac:dyDescent="0.25">
      <c r="A867" t="s">
        <v>893</v>
      </c>
      <c r="B867" s="2">
        <v>46016</v>
      </c>
      <c r="C867" t="s">
        <v>28</v>
      </c>
      <c r="D867" t="s">
        <v>16</v>
      </c>
      <c r="E867" t="s">
        <v>17</v>
      </c>
      <c r="F867" s="1">
        <v>8</v>
      </c>
      <c r="G867" s="1">
        <v>3801.85</v>
      </c>
      <c r="H867" s="1">
        <v>484.2</v>
      </c>
    </row>
    <row r="868" spans="1:8" x14ac:dyDescent="0.25">
      <c r="A868" t="s">
        <v>894</v>
      </c>
      <c r="B868" s="2">
        <v>45701</v>
      </c>
      <c r="C868" t="s">
        <v>28</v>
      </c>
      <c r="D868" t="s">
        <v>13</v>
      </c>
      <c r="E868" t="s">
        <v>14</v>
      </c>
      <c r="F868" s="1">
        <v>9</v>
      </c>
      <c r="G868" s="1">
        <v>9371.85</v>
      </c>
      <c r="H868" s="1">
        <v>1617.29</v>
      </c>
    </row>
    <row r="869" spans="1:8" x14ac:dyDescent="0.25">
      <c r="A869" t="s">
        <v>895</v>
      </c>
      <c r="B869" s="2">
        <v>45883</v>
      </c>
      <c r="C869" t="s">
        <v>28</v>
      </c>
      <c r="D869" t="s">
        <v>55</v>
      </c>
      <c r="E869" t="s">
        <v>17</v>
      </c>
      <c r="F869" s="1">
        <v>7</v>
      </c>
      <c r="G869" s="1">
        <v>6551.46</v>
      </c>
      <c r="H869" s="1">
        <v>945.02</v>
      </c>
    </row>
    <row r="870" spans="1:8" x14ac:dyDescent="0.25">
      <c r="A870" t="s">
        <v>896</v>
      </c>
      <c r="B870" s="2">
        <v>45717</v>
      </c>
      <c r="C870" t="s">
        <v>9</v>
      </c>
      <c r="D870" t="s">
        <v>16</v>
      </c>
      <c r="E870" t="s">
        <v>17</v>
      </c>
      <c r="F870" s="1">
        <v>6</v>
      </c>
      <c r="G870" s="1">
        <v>674.85</v>
      </c>
      <c r="H870" s="1">
        <v>102.16</v>
      </c>
    </row>
    <row r="871" spans="1:8" x14ac:dyDescent="0.25">
      <c r="A871" t="s">
        <v>897</v>
      </c>
      <c r="B871" s="2">
        <v>45930</v>
      </c>
      <c r="C871" t="s">
        <v>28</v>
      </c>
      <c r="D871" t="s">
        <v>55</v>
      </c>
      <c r="E871" t="s">
        <v>17</v>
      </c>
      <c r="F871" s="1">
        <v>7</v>
      </c>
      <c r="G871" s="1">
        <v>4183.67</v>
      </c>
      <c r="H871" s="1">
        <v>872.68</v>
      </c>
    </row>
    <row r="872" spans="1:8" x14ac:dyDescent="0.25">
      <c r="A872" t="s">
        <v>898</v>
      </c>
      <c r="B872" s="2">
        <v>45880</v>
      </c>
      <c r="C872" t="s">
        <v>9</v>
      </c>
      <c r="D872" t="s">
        <v>23</v>
      </c>
      <c r="E872" t="s">
        <v>14</v>
      </c>
      <c r="F872" s="1">
        <v>7</v>
      </c>
      <c r="G872" s="1">
        <v>4170.45</v>
      </c>
      <c r="H872" s="1">
        <v>497.08</v>
      </c>
    </row>
    <row r="873" spans="1:8" x14ac:dyDescent="0.25">
      <c r="A873" t="s">
        <v>899</v>
      </c>
      <c r="B873" s="2">
        <v>46007</v>
      </c>
      <c r="C873" t="s">
        <v>9</v>
      </c>
      <c r="D873" t="s">
        <v>30</v>
      </c>
      <c r="E873" t="s">
        <v>26</v>
      </c>
      <c r="F873" s="1">
        <v>7</v>
      </c>
      <c r="G873" s="1">
        <v>5811.87</v>
      </c>
      <c r="H873" s="1">
        <v>1974.15</v>
      </c>
    </row>
    <row r="874" spans="1:8" x14ac:dyDescent="0.25">
      <c r="A874" t="s">
        <v>900</v>
      </c>
      <c r="B874" s="2">
        <v>45991</v>
      </c>
      <c r="C874" t="s">
        <v>22</v>
      </c>
      <c r="D874" t="s">
        <v>41</v>
      </c>
      <c r="E874" t="s">
        <v>11</v>
      </c>
      <c r="F874" s="1">
        <v>6</v>
      </c>
      <c r="G874" s="1">
        <v>6897.67</v>
      </c>
      <c r="H874" s="1">
        <v>1355.96</v>
      </c>
    </row>
    <row r="875" spans="1:8" x14ac:dyDescent="0.25">
      <c r="A875" t="s">
        <v>901</v>
      </c>
      <c r="B875" s="2">
        <v>45957</v>
      </c>
      <c r="C875" t="s">
        <v>35</v>
      </c>
      <c r="D875" t="s">
        <v>30</v>
      </c>
      <c r="E875" t="s">
        <v>26</v>
      </c>
      <c r="F875" s="1">
        <v>5</v>
      </c>
      <c r="G875" s="1">
        <v>4863.32</v>
      </c>
      <c r="H875" s="1">
        <v>724.36</v>
      </c>
    </row>
    <row r="876" spans="1:8" x14ac:dyDescent="0.25">
      <c r="A876" t="s">
        <v>902</v>
      </c>
      <c r="B876" s="2">
        <v>45757</v>
      </c>
      <c r="C876" t="s">
        <v>22</v>
      </c>
      <c r="D876" t="s">
        <v>23</v>
      </c>
      <c r="E876" t="s">
        <v>14</v>
      </c>
      <c r="F876" s="1">
        <v>4</v>
      </c>
      <c r="G876" s="1">
        <v>3577.84</v>
      </c>
      <c r="H876" s="1">
        <v>854.94</v>
      </c>
    </row>
    <row r="877" spans="1:8" x14ac:dyDescent="0.25">
      <c r="A877" t="s">
        <v>903</v>
      </c>
      <c r="B877" s="2">
        <v>45692</v>
      </c>
      <c r="C877" t="s">
        <v>9</v>
      </c>
      <c r="D877" t="s">
        <v>55</v>
      </c>
      <c r="E877" t="s">
        <v>17</v>
      </c>
      <c r="F877" s="1">
        <v>9</v>
      </c>
      <c r="G877" s="1">
        <v>559.48</v>
      </c>
      <c r="H877" s="1">
        <v>46.04</v>
      </c>
    </row>
    <row r="878" spans="1:8" x14ac:dyDescent="0.25">
      <c r="A878" t="s">
        <v>904</v>
      </c>
      <c r="B878" s="2">
        <v>45770</v>
      </c>
      <c r="C878" t="s">
        <v>22</v>
      </c>
      <c r="D878" t="s">
        <v>13</v>
      </c>
      <c r="E878" t="s">
        <v>14</v>
      </c>
      <c r="F878" s="1">
        <v>9</v>
      </c>
      <c r="G878" s="1">
        <v>1525.44</v>
      </c>
      <c r="H878" s="1">
        <v>305.7</v>
      </c>
    </row>
    <row r="879" spans="1:8" x14ac:dyDescent="0.25">
      <c r="A879" t="s">
        <v>905</v>
      </c>
      <c r="B879" s="2">
        <v>45962</v>
      </c>
      <c r="C879" t="s">
        <v>28</v>
      </c>
      <c r="D879" t="s">
        <v>33</v>
      </c>
      <c r="E879" t="s">
        <v>26</v>
      </c>
      <c r="F879" s="1">
        <v>1</v>
      </c>
      <c r="G879" s="1">
        <v>77.260000000000005</v>
      </c>
      <c r="H879" s="1">
        <v>8.1</v>
      </c>
    </row>
    <row r="880" spans="1:8" x14ac:dyDescent="0.25">
      <c r="A880" t="s">
        <v>906</v>
      </c>
      <c r="B880" s="2">
        <v>45850</v>
      </c>
      <c r="C880" t="s">
        <v>28</v>
      </c>
      <c r="D880" t="s">
        <v>41</v>
      </c>
      <c r="E880" t="s">
        <v>11</v>
      </c>
      <c r="F880" s="1">
        <v>2</v>
      </c>
      <c r="G880" s="1">
        <v>298.69</v>
      </c>
      <c r="H880" s="1">
        <v>72.66</v>
      </c>
    </row>
    <row r="881" spans="1:8" x14ac:dyDescent="0.25">
      <c r="A881" t="s">
        <v>907</v>
      </c>
      <c r="B881" s="2">
        <v>45696</v>
      </c>
      <c r="C881" t="s">
        <v>35</v>
      </c>
      <c r="D881" t="s">
        <v>41</v>
      </c>
      <c r="E881" t="s">
        <v>11</v>
      </c>
      <c r="F881" s="1">
        <v>3</v>
      </c>
      <c r="G881" s="1">
        <v>1024.01</v>
      </c>
      <c r="H881" s="1">
        <v>211.03</v>
      </c>
    </row>
    <row r="882" spans="1:8" x14ac:dyDescent="0.25">
      <c r="A882" t="s">
        <v>908</v>
      </c>
      <c r="B882" s="2">
        <v>45799</v>
      </c>
      <c r="C882" t="s">
        <v>9</v>
      </c>
      <c r="D882" t="s">
        <v>30</v>
      </c>
      <c r="E882" t="s">
        <v>26</v>
      </c>
      <c r="F882" s="1">
        <v>6</v>
      </c>
      <c r="G882" s="1">
        <v>2075.62</v>
      </c>
      <c r="H882" s="1">
        <v>603.59</v>
      </c>
    </row>
    <row r="883" spans="1:8" x14ac:dyDescent="0.25">
      <c r="A883" t="s">
        <v>909</v>
      </c>
      <c r="B883" s="2">
        <v>45793</v>
      </c>
      <c r="C883" t="s">
        <v>28</v>
      </c>
      <c r="D883" t="s">
        <v>57</v>
      </c>
      <c r="E883" t="s">
        <v>14</v>
      </c>
      <c r="F883" s="1">
        <v>6</v>
      </c>
      <c r="G883" s="1">
        <v>7172.11</v>
      </c>
      <c r="H883" s="1">
        <v>1073.8399999999999</v>
      </c>
    </row>
    <row r="884" spans="1:8" x14ac:dyDescent="0.25">
      <c r="A884" t="s">
        <v>910</v>
      </c>
      <c r="B884" s="2">
        <v>45859</v>
      </c>
      <c r="C884" t="s">
        <v>28</v>
      </c>
      <c r="D884" t="s">
        <v>13</v>
      </c>
      <c r="E884" t="s">
        <v>14</v>
      </c>
      <c r="F884" s="1">
        <v>8</v>
      </c>
      <c r="G884" s="1">
        <v>9410.68</v>
      </c>
      <c r="H884" s="1">
        <v>1262.73</v>
      </c>
    </row>
    <row r="885" spans="1:8" x14ac:dyDescent="0.25">
      <c r="A885" t="s">
        <v>911</v>
      </c>
      <c r="B885" s="2">
        <v>45972</v>
      </c>
      <c r="C885" t="s">
        <v>9</v>
      </c>
      <c r="D885" t="s">
        <v>13</v>
      </c>
      <c r="E885" t="s">
        <v>14</v>
      </c>
      <c r="F885" s="1">
        <v>3</v>
      </c>
      <c r="G885" s="1">
        <v>2015.18</v>
      </c>
      <c r="H885" s="1">
        <v>395.86</v>
      </c>
    </row>
    <row r="886" spans="1:8" x14ac:dyDescent="0.25">
      <c r="A886" t="s">
        <v>912</v>
      </c>
      <c r="B886" s="2">
        <v>45950</v>
      </c>
      <c r="C886" t="s">
        <v>22</v>
      </c>
      <c r="D886" t="s">
        <v>23</v>
      </c>
      <c r="E886" t="s">
        <v>14</v>
      </c>
      <c r="F886" s="1">
        <v>5</v>
      </c>
      <c r="G886" s="1">
        <v>843.9</v>
      </c>
      <c r="H886" s="1">
        <v>84.13</v>
      </c>
    </row>
    <row r="887" spans="1:8" x14ac:dyDescent="0.25">
      <c r="A887" t="s">
        <v>913</v>
      </c>
      <c r="B887" s="2">
        <v>45677</v>
      </c>
      <c r="C887" t="s">
        <v>35</v>
      </c>
      <c r="D887" t="s">
        <v>13</v>
      </c>
      <c r="E887" t="s">
        <v>14</v>
      </c>
      <c r="F887" s="1">
        <v>8</v>
      </c>
      <c r="G887" s="1">
        <v>1769.46</v>
      </c>
      <c r="H887" s="1">
        <v>447.48</v>
      </c>
    </row>
    <row r="888" spans="1:8" x14ac:dyDescent="0.25">
      <c r="A888" t="s">
        <v>914</v>
      </c>
      <c r="B888" s="2">
        <v>45921</v>
      </c>
      <c r="C888" t="s">
        <v>35</v>
      </c>
      <c r="D888" t="s">
        <v>33</v>
      </c>
      <c r="E888" t="s">
        <v>26</v>
      </c>
      <c r="F888" s="1">
        <v>6</v>
      </c>
      <c r="G888" s="1">
        <v>6541.86</v>
      </c>
      <c r="H888" s="1">
        <v>1538.34</v>
      </c>
    </row>
    <row r="889" spans="1:8" x14ac:dyDescent="0.25">
      <c r="A889" t="s">
        <v>915</v>
      </c>
      <c r="B889" s="2">
        <v>45693</v>
      </c>
      <c r="C889" t="s">
        <v>28</v>
      </c>
      <c r="D889" t="s">
        <v>57</v>
      </c>
      <c r="E889" t="s">
        <v>14</v>
      </c>
      <c r="F889" s="1">
        <v>7</v>
      </c>
      <c r="G889" s="1">
        <v>7144.6</v>
      </c>
      <c r="H889" s="1">
        <v>2078.0300000000002</v>
      </c>
    </row>
    <row r="890" spans="1:8" x14ac:dyDescent="0.25">
      <c r="A890" t="s">
        <v>916</v>
      </c>
      <c r="B890" s="2">
        <v>45841</v>
      </c>
      <c r="C890" t="s">
        <v>22</v>
      </c>
      <c r="D890" t="s">
        <v>20</v>
      </c>
      <c r="E890" t="s">
        <v>11</v>
      </c>
      <c r="F890" s="1">
        <v>8</v>
      </c>
      <c r="G890" s="1">
        <v>1515.07</v>
      </c>
      <c r="H890" s="1">
        <v>340.18</v>
      </c>
    </row>
    <row r="891" spans="1:8" x14ac:dyDescent="0.25">
      <c r="A891" t="s">
        <v>917</v>
      </c>
      <c r="B891" s="2">
        <v>45704</v>
      </c>
      <c r="C891" t="s">
        <v>22</v>
      </c>
      <c r="D891" t="s">
        <v>30</v>
      </c>
      <c r="E891" t="s">
        <v>26</v>
      </c>
      <c r="F891" s="1">
        <v>1</v>
      </c>
      <c r="G891" s="1">
        <v>777.11</v>
      </c>
      <c r="H891" s="1">
        <v>263.35000000000002</v>
      </c>
    </row>
    <row r="892" spans="1:8" x14ac:dyDescent="0.25">
      <c r="A892" t="s">
        <v>918</v>
      </c>
      <c r="B892" s="2">
        <v>45761</v>
      </c>
      <c r="C892" t="s">
        <v>28</v>
      </c>
      <c r="D892" t="s">
        <v>33</v>
      </c>
      <c r="E892" t="s">
        <v>26</v>
      </c>
      <c r="F892" s="1">
        <v>8</v>
      </c>
      <c r="G892" s="1">
        <v>7396.17</v>
      </c>
      <c r="H892" s="1">
        <v>1170.73</v>
      </c>
    </row>
    <row r="893" spans="1:8" x14ac:dyDescent="0.25">
      <c r="A893" t="s">
        <v>919</v>
      </c>
      <c r="B893" s="2">
        <v>45712</v>
      </c>
      <c r="C893" t="s">
        <v>22</v>
      </c>
      <c r="D893" t="s">
        <v>20</v>
      </c>
      <c r="E893" t="s">
        <v>11</v>
      </c>
      <c r="F893" s="1">
        <v>4</v>
      </c>
      <c r="G893" s="1">
        <v>1574.8</v>
      </c>
      <c r="H893" s="1">
        <v>291.85000000000002</v>
      </c>
    </row>
    <row r="894" spans="1:8" x14ac:dyDescent="0.25">
      <c r="A894" t="s">
        <v>920</v>
      </c>
      <c r="B894" s="2">
        <v>45756</v>
      </c>
      <c r="C894" t="s">
        <v>9</v>
      </c>
      <c r="D894" t="s">
        <v>13</v>
      </c>
      <c r="E894" t="s">
        <v>14</v>
      </c>
      <c r="F894" s="1">
        <v>8</v>
      </c>
      <c r="G894" s="1">
        <v>7164.98</v>
      </c>
      <c r="H894" s="1">
        <v>843.92</v>
      </c>
    </row>
    <row r="895" spans="1:8" x14ac:dyDescent="0.25">
      <c r="A895" t="s">
        <v>921</v>
      </c>
      <c r="B895" s="2">
        <v>45815</v>
      </c>
      <c r="C895" t="s">
        <v>35</v>
      </c>
      <c r="D895" t="s">
        <v>55</v>
      </c>
      <c r="E895" t="s">
        <v>17</v>
      </c>
      <c r="F895" s="1">
        <v>7</v>
      </c>
      <c r="G895" s="1">
        <v>857.09</v>
      </c>
      <c r="H895" s="1">
        <v>193.66</v>
      </c>
    </row>
    <row r="896" spans="1:8" x14ac:dyDescent="0.25">
      <c r="A896" t="s">
        <v>922</v>
      </c>
      <c r="B896" s="2">
        <v>45679</v>
      </c>
      <c r="C896" t="s">
        <v>35</v>
      </c>
      <c r="D896" t="s">
        <v>13</v>
      </c>
      <c r="E896" t="s">
        <v>14</v>
      </c>
      <c r="F896" s="1">
        <v>1</v>
      </c>
      <c r="G896" s="1">
        <v>440.18</v>
      </c>
      <c r="H896" s="1">
        <v>75.349999999999994</v>
      </c>
    </row>
    <row r="897" spans="1:8" x14ac:dyDescent="0.25">
      <c r="A897" t="s">
        <v>923</v>
      </c>
      <c r="B897" s="2">
        <v>45932</v>
      </c>
      <c r="C897" t="s">
        <v>28</v>
      </c>
      <c r="D897" t="s">
        <v>10</v>
      </c>
      <c r="E897" t="s">
        <v>11</v>
      </c>
      <c r="F897" s="1">
        <v>9</v>
      </c>
      <c r="G897" s="1">
        <v>5194.13</v>
      </c>
      <c r="H897" s="1">
        <v>1366.48</v>
      </c>
    </row>
    <row r="898" spans="1:8" x14ac:dyDescent="0.25">
      <c r="A898" t="s">
        <v>924</v>
      </c>
      <c r="B898" s="2">
        <v>45667</v>
      </c>
      <c r="C898" t="s">
        <v>35</v>
      </c>
      <c r="D898" t="s">
        <v>48</v>
      </c>
      <c r="E898" t="s">
        <v>17</v>
      </c>
      <c r="F898" s="1">
        <v>1</v>
      </c>
      <c r="G898" s="1">
        <v>895.78</v>
      </c>
      <c r="H898" s="1">
        <v>189.91</v>
      </c>
    </row>
    <row r="899" spans="1:8" x14ac:dyDescent="0.25">
      <c r="A899" t="s">
        <v>925</v>
      </c>
      <c r="B899" s="2">
        <v>45815</v>
      </c>
      <c r="C899" t="s">
        <v>9</v>
      </c>
      <c r="D899" t="s">
        <v>10</v>
      </c>
      <c r="E899" t="s">
        <v>11</v>
      </c>
      <c r="F899" s="1">
        <v>3</v>
      </c>
      <c r="G899" s="1">
        <v>199.56</v>
      </c>
      <c r="H899" s="1">
        <v>50.05</v>
      </c>
    </row>
    <row r="900" spans="1:8" x14ac:dyDescent="0.25">
      <c r="A900" t="s">
        <v>926</v>
      </c>
      <c r="B900" s="2">
        <v>45712</v>
      </c>
      <c r="C900" t="s">
        <v>9</v>
      </c>
      <c r="D900" t="s">
        <v>23</v>
      </c>
      <c r="E900" t="s">
        <v>14</v>
      </c>
      <c r="F900" s="1">
        <v>3</v>
      </c>
      <c r="G900" s="1">
        <v>3031.96</v>
      </c>
      <c r="H900" s="1">
        <v>294.91000000000003</v>
      </c>
    </row>
    <row r="901" spans="1:8" x14ac:dyDescent="0.25">
      <c r="A901" t="s">
        <v>927</v>
      </c>
      <c r="B901" s="2">
        <v>45876</v>
      </c>
      <c r="C901" t="s">
        <v>22</v>
      </c>
      <c r="D901" t="s">
        <v>23</v>
      </c>
      <c r="E901" t="s">
        <v>14</v>
      </c>
      <c r="F901" s="1">
        <v>10</v>
      </c>
      <c r="G901" s="1">
        <v>3036.58</v>
      </c>
      <c r="H901" s="1">
        <v>902.48</v>
      </c>
    </row>
    <row r="902" spans="1:8" x14ac:dyDescent="0.25">
      <c r="A902" t="s">
        <v>928</v>
      </c>
      <c r="B902" s="2">
        <v>45728</v>
      </c>
      <c r="C902" t="s">
        <v>22</v>
      </c>
      <c r="D902" t="s">
        <v>57</v>
      </c>
      <c r="E902" t="s">
        <v>14</v>
      </c>
      <c r="F902" s="1">
        <v>2</v>
      </c>
      <c r="G902" s="1">
        <v>2344.46</v>
      </c>
      <c r="H902" s="1">
        <v>552.15</v>
      </c>
    </row>
    <row r="903" spans="1:8" x14ac:dyDescent="0.25">
      <c r="A903" t="s">
        <v>929</v>
      </c>
      <c r="B903" s="2">
        <v>45798</v>
      </c>
      <c r="C903" t="s">
        <v>28</v>
      </c>
      <c r="D903" t="s">
        <v>48</v>
      </c>
      <c r="E903" t="s">
        <v>17</v>
      </c>
      <c r="F903" s="1">
        <v>10</v>
      </c>
      <c r="G903" s="1">
        <v>2494.65</v>
      </c>
      <c r="H903" s="1">
        <v>242.16</v>
      </c>
    </row>
    <row r="904" spans="1:8" x14ac:dyDescent="0.25">
      <c r="A904" t="s">
        <v>930</v>
      </c>
      <c r="B904" s="2">
        <v>45955</v>
      </c>
      <c r="C904" t="s">
        <v>9</v>
      </c>
      <c r="D904" t="s">
        <v>13</v>
      </c>
      <c r="E904" t="s">
        <v>14</v>
      </c>
      <c r="F904" s="1">
        <v>6</v>
      </c>
      <c r="G904" s="1">
        <v>4118.51</v>
      </c>
      <c r="H904" s="1">
        <v>817.27</v>
      </c>
    </row>
    <row r="905" spans="1:8" x14ac:dyDescent="0.25">
      <c r="A905" t="s">
        <v>931</v>
      </c>
      <c r="B905" s="2">
        <v>45907</v>
      </c>
      <c r="C905" t="s">
        <v>9</v>
      </c>
      <c r="D905" t="s">
        <v>48</v>
      </c>
      <c r="E905" t="s">
        <v>17</v>
      </c>
      <c r="F905" s="1">
        <v>10</v>
      </c>
      <c r="G905" s="1">
        <v>4825.51</v>
      </c>
      <c r="H905" s="1">
        <v>591.58000000000004</v>
      </c>
    </row>
    <row r="906" spans="1:8" x14ac:dyDescent="0.25">
      <c r="A906" t="s">
        <v>932</v>
      </c>
      <c r="B906" s="2">
        <v>45961</v>
      </c>
      <c r="C906" t="s">
        <v>22</v>
      </c>
      <c r="D906" t="s">
        <v>10</v>
      </c>
      <c r="E906" t="s">
        <v>11</v>
      </c>
      <c r="F906" s="1">
        <v>3</v>
      </c>
      <c r="G906" s="1">
        <v>3345.17</v>
      </c>
      <c r="H906" s="1">
        <v>905.94</v>
      </c>
    </row>
    <row r="907" spans="1:8" x14ac:dyDescent="0.25">
      <c r="A907" t="s">
        <v>933</v>
      </c>
      <c r="B907" s="2">
        <v>45985</v>
      </c>
      <c r="C907" t="s">
        <v>22</v>
      </c>
      <c r="D907" t="s">
        <v>23</v>
      </c>
      <c r="E907" t="s">
        <v>14</v>
      </c>
      <c r="F907" s="1">
        <v>8</v>
      </c>
      <c r="G907" s="1">
        <v>6769.7</v>
      </c>
      <c r="H907" s="1">
        <v>918.4</v>
      </c>
    </row>
    <row r="908" spans="1:8" x14ac:dyDescent="0.25">
      <c r="A908" t="s">
        <v>934</v>
      </c>
      <c r="B908" s="2">
        <v>45677</v>
      </c>
      <c r="C908" t="s">
        <v>28</v>
      </c>
      <c r="D908" t="s">
        <v>57</v>
      </c>
      <c r="E908" t="s">
        <v>14</v>
      </c>
      <c r="F908" s="1">
        <v>4</v>
      </c>
      <c r="G908" s="1">
        <v>4515.21</v>
      </c>
      <c r="H908" s="1">
        <v>1105.53</v>
      </c>
    </row>
    <row r="909" spans="1:8" x14ac:dyDescent="0.25">
      <c r="A909" t="s">
        <v>935</v>
      </c>
      <c r="B909" s="2">
        <v>45836</v>
      </c>
      <c r="C909" t="s">
        <v>35</v>
      </c>
      <c r="D909" t="s">
        <v>23</v>
      </c>
      <c r="E909" t="s">
        <v>14</v>
      </c>
      <c r="F909" s="1">
        <v>2</v>
      </c>
      <c r="G909" s="1">
        <v>1542.54</v>
      </c>
      <c r="H909" s="1">
        <v>449.34</v>
      </c>
    </row>
    <row r="910" spans="1:8" x14ac:dyDescent="0.25">
      <c r="A910" t="s">
        <v>936</v>
      </c>
      <c r="B910" s="2">
        <v>45706</v>
      </c>
      <c r="C910" t="s">
        <v>22</v>
      </c>
      <c r="D910" t="s">
        <v>41</v>
      </c>
      <c r="E910" t="s">
        <v>11</v>
      </c>
      <c r="F910" s="1">
        <v>4</v>
      </c>
      <c r="G910" s="1">
        <v>1082.75</v>
      </c>
      <c r="H910" s="1">
        <v>375.05</v>
      </c>
    </row>
    <row r="911" spans="1:8" x14ac:dyDescent="0.25">
      <c r="A911" t="s">
        <v>937</v>
      </c>
      <c r="B911" s="2">
        <v>45734</v>
      </c>
      <c r="C911" t="s">
        <v>35</v>
      </c>
      <c r="D911" t="s">
        <v>55</v>
      </c>
      <c r="E911" t="s">
        <v>17</v>
      </c>
      <c r="F911" s="1">
        <v>4</v>
      </c>
      <c r="G911" s="1">
        <v>1471.56</v>
      </c>
      <c r="H911" s="1">
        <v>194.69</v>
      </c>
    </row>
    <row r="912" spans="1:8" x14ac:dyDescent="0.25">
      <c r="A912" t="s">
        <v>938</v>
      </c>
      <c r="B912" s="2">
        <v>45988</v>
      </c>
      <c r="C912" t="s">
        <v>22</v>
      </c>
      <c r="D912" t="s">
        <v>13</v>
      </c>
      <c r="E912" t="s">
        <v>14</v>
      </c>
      <c r="F912" s="1">
        <v>3</v>
      </c>
      <c r="G912" s="1">
        <v>2461.9899999999998</v>
      </c>
      <c r="H912" s="1">
        <v>225.62</v>
      </c>
    </row>
    <row r="913" spans="1:8" x14ac:dyDescent="0.25">
      <c r="A913" t="s">
        <v>939</v>
      </c>
      <c r="B913" s="2">
        <v>45890</v>
      </c>
      <c r="C913" t="s">
        <v>9</v>
      </c>
      <c r="D913" t="s">
        <v>33</v>
      </c>
      <c r="E913" t="s">
        <v>26</v>
      </c>
      <c r="F913" s="1">
        <v>7</v>
      </c>
      <c r="G913" s="1">
        <v>2373.62</v>
      </c>
      <c r="H913" s="1">
        <v>585.20000000000005</v>
      </c>
    </row>
    <row r="914" spans="1:8" x14ac:dyDescent="0.25">
      <c r="A914" t="s">
        <v>940</v>
      </c>
      <c r="B914" s="2">
        <v>45672</v>
      </c>
      <c r="C914" t="s">
        <v>35</v>
      </c>
      <c r="D914" t="s">
        <v>41</v>
      </c>
      <c r="E914" t="s">
        <v>11</v>
      </c>
      <c r="F914" s="1">
        <v>1</v>
      </c>
      <c r="G914" s="1">
        <v>1113.5899999999999</v>
      </c>
      <c r="H914" s="1">
        <v>141.97</v>
      </c>
    </row>
    <row r="915" spans="1:8" x14ac:dyDescent="0.25">
      <c r="A915" t="s">
        <v>941</v>
      </c>
      <c r="B915" s="2">
        <v>45824</v>
      </c>
      <c r="C915" t="s">
        <v>35</v>
      </c>
      <c r="D915" t="s">
        <v>10</v>
      </c>
      <c r="E915" t="s">
        <v>11</v>
      </c>
      <c r="F915" s="1">
        <v>4</v>
      </c>
      <c r="G915" s="1">
        <v>3518.45</v>
      </c>
      <c r="H915" s="1">
        <v>844.54</v>
      </c>
    </row>
    <row r="916" spans="1:8" x14ac:dyDescent="0.25">
      <c r="A916" t="s">
        <v>942</v>
      </c>
      <c r="B916" s="2">
        <v>45774</v>
      </c>
      <c r="C916" t="s">
        <v>9</v>
      </c>
      <c r="D916" t="s">
        <v>16</v>
      </c>
      <c r="E916" t="s">
        <v>17</v>
      </c>
      <c r="F916" s="1">
        <v>6</v>
      </c>
      <c r="G916" s="1">
        <v>1887.44</v>
      </c>
      <c r="H916" s="1">
        <v>207.12</v>
      </c>
    </row>
    <row r="917" spans="1:8" x14ac:dyDescent="0.25">
      <c r="A917" t="s">
        <v>943</v>
      </c>
      <c r="B917" s="2">
        <v>45770</v>
      </c>
      <c r="C917" t="s">
        <v>9</v>
      </c>
      <c r="D917" t="s">
        <v>16</v>
      </c>
      <c r="E917" t="s">
        <v>17</v>
      </c>
      <c r="F917" s="1">
        <v>7</v>
      </c>
      <c r="G917" s="1">
        <v>7352.58</v>
      </c>
      <c r="H917" s="1">
        <v>1333.71</v>
      </c>
    </row>
    <row r="918" spans="1:8" x14ac:dyDescent="0.25">
      <c r="A918" t="s">
        <v>944</v>
      </c>
      <c r="B918" s="2">
        <v>45768</v>
      </c>
      <c r="C918" t="s">
        <v>35</v>
      </c>
      <c r="D918" t="s">
        <v>23</v>
      </c>
      <c r="E918" t="s">
        <v>14</v>
      </c>
      <c r="F918" s="1">
        <v>8</v>
      </c>
      <c r="G918" s="1">
        <v>899.92</v>
      </c>
      <c r="H918" s="1">
        <v>177.9</v>
      </c>
    </row>
    <row r="919" spans="1:8" x14ac:dyDescent="0.25">
      <c r="A919" t="s">
        <v>945</v>
      </c>
      <c r="B919" s="2">
        <v>45981</v>
      </c>
      <c r="C919" t="s">
        <v>22</v>
      </c>
      <c r="D919" t="s">
        <v>55</v>
      </c>
      <c r="E919" t="s">
        <v>17</v>
      </c>
      <c r="F919" s="1">
        <v>6</v>
      </c>
      <c r="G919" s="1">
        <v>1241.19</v>
      </c>
      <c r="H919" s="1">
        <v>340.52</v>
      </c>
    </row>
    <row r="920" spans="1:8" x14ac:dyDescent="0.25">
      <c r="A920" t="s">
        <v>946</v>
      </c>
      <c r="B920" s="2">
        <v>45688</v>
      </c>
      <c r="C920" t="s">
        <v>22</v>
      </c>
      <c r="D920" t="s">
        <v>33</v>
      </c>
      <c r="E920" t="s">
        <v>26</v>
      </c>
      <c r="F920" s="1">
        <v>6</v>
      </c>
      <c r="G920" s="1">
        <v>1177.76</v>
      </c>
      <c r="H920" s="1">
        <v>314.33999999999997</v>
      </c>
    </row>
    <row r="921" spans="1:8" x14ac:dyDescent="0.25">
      <c r="A921" t="s">
        <v>947</v>
      </c>
      <c r="B921" s="2">
        <v>45833</v>
      </c>
      <c r="C921" t="s">
        <v>28</v>
      </c>
      <c r="D921" t="s">
        <v>48</v>
      </c>
      <c r="E921" t="s">
        <v>17</v>
      </c>
      <c r="F921" s="1">
        <v>8</v>
      </c>
      <c r="G921" s="1">
        <v>4618.93</v>
      </c>
      <c r="H921" s="1">
        <v>583.02</v>
      </c>
    </row>
    <row r="922" spans="1:8" x14ac:dyDescent="0.25">
      <c r="A922" t="s">
        <v>948</v>
      </c>
      <c r="B922" s="2">
        <v>45971</v>
      </c>
      <c r="C922" t="s">
        <v>28</v>
      </c>
      <c r="D922" t="s">
        <v>25</v>
      </c>
      <c r="E922" t="s">
        <v>26</v>
      </c>
      <c r="F922" s="1">
        <v>3</v>
      </c>
      <c r="G922" s="1">
        <v>2873.94</v>
      </c>
      <c r="H922" s="1">
        <v>724.98</v>
      </c>
    </row>
    <row r="923" spans="1:8" x14ac:dyDescent="0.25">
      <c r="A923" t="s">
        <v>949</v>
      </c>
      <c r="B923" s="2">
        <v>45768</v>
      </c>
      <c r="C923" t="s">
        <v>35</v>
      </c>
      <c r="D923" t="s">
        <v>48</v>
      </c>
      <c r="E923" t="s">
        <v>17</v>
      </c>
      <c r="F923" s="1">
        <v>7</v>
      </c>
      <c r="G923" s="1">
        <v>7248.64</v>
      </c>
      <c r="H923" s="1">
        <v>1537.35</v>
      </c>
    </row>
    <row r="924" spans="1:8" x14ac:dyDescent="0.25">
      <c r="A924" t="s">
        <v>950</v>
      </c>
      <c r="B924" s="2">
        <v>45784</v>
      </c>
      <c r="C924" t="s">
        <v>28</v>
      </c>
      <c r="D924" t="s">
        <v>57</v>
      </c>
      <c r="E924" t="s">
        <v>14</v>
      </c>
      <c r="F924" s="1">
        <v>1</v>
      </c>
      <c r="G924" s="1">
        <v>889.52</v>
      </c>
      <c r="H924" s="1">
        <v>247.97</v>
      </c>
    </row>
    <row r="925" spans="1:8" x14ac:dyDescent="0.25">
      <c r="A925" t="s">
        <v>951</v>
      </c>
      <c r="B925" s="2">
        <v>45734</v>
      </c>
      <c r="C925" t="s">
        <v>9</v>
      </c>
      <c r="D925" t="s">
        <v>30</v>
      </c>
      <c r="E925" t="s">
        <v>26</v>
      </c>
      <c r="F925" s="1">
        <v>10</v>
      </c>
      <c r="G925" s="1">
        <v>3057.68</v>
      </c>
      <c r="H925" s="1">
        <v>1010.32</v>
      </c>
    </row>
    <row r="926" spans="1:8" x14ac:dyDescent="0.25">
      <c r="A926" t="s">
        <v>952</v>
      </c>
      <c r="B926" s="2">
        <v>45916</v>
      </c>
      <c r="C926" t="s">
        <v>9</v>
      </c>
      <c r="D926" t="s">
        <v>13</v>
      </c>
      <c r="E926" t="s">
        <v>14</v>
      </c>
      <c r="F926" s="1">
        <v>1</v>
      </c>
      <c r="G926" s="1">
        <v>1189.96</v>
      </c>
      <c r="H926" s="1">
        <v>330.85</v>
      </c>
    </row>
    <row r="927" spans="1:8" x14ac:dyDescent="0.25">
      <c r="A927" t="s">
        <v>953</v>
      </c>
      <c r="B927" s="2">
        <v>45708</v>
      </c>
      <c r="C927" t="s">
        <v>35</v>
      </c>
      <c r="D927" t="s">
        <v>23</v>
      </c>
      <c r="E927" t="s">
        <v>14</v>
      </c>
      <c r="F927" s="1">
        <v>7</v>
      </c>
      <c r="G927" s="1">
        <v>4208.12</v>
      </c>
      <c r="H927" s="1">
        <v>1243.3499999999999</v>
      </c>
    </row>
    <row r="928" spans="1:8" x14ac:dyDescent="0.25">
      <c r="A928" t="s">
        <v>954</v>
      </c>
      <c r="B928" s="2">
        <v>45866</v>
      </c>
      <c r="C928" t="s">
        <v>28</v>
      </c>
      <c r="D928" t="s">
        <v>13</v>
      </c>
      <c r="E928" t="s">
        <v>14</v>
      </c>
      <c r="F928" s="1">
        <v>2</v>
      </c>
      <c r="G928" s="1">
        <v>1384.52</v>
      </c>
      <c r="H928" s="1">
        <v>115.41</v>
      </c>
    </row>
    <row r="929" spans="1:8" x14ac:dyDescent="0.25">
      <c r="A929" t="s">
        <v>955</v>
      </c>
      <c r="B929" s="2">
        <v>45666</v>
      </c>
      <c r="C929" t="s">
        <v>35</v>
      </c>
      <c r="D929" t="s">
        <v>55</v>
      </c>
      <c r="E929" t="s">
        <v>17</v>
      </c>
      <c r="F929" s="1">
        <v>5</v>
      </c>
      <c r="G929" s="1">
        <v>1624.61</v>
      </c>
      <c r="H929" s="1">
        <v>568.15</v>
      </c>
    </row>
    <row r="930" spans="1:8" x14ac:dyDescent="0.25">
      <c r="A930" t="s">
        <v>956</v>
      </c>
      <c r="B930" s="2">
        <v>45670</v>
      </c>
      <c r="C930" t="s">
        <v>35</v>
      </c>
      <c r="D930" t="s">
        <v>33</v>
      </c>
      <c r="E930" t="s">
        <v>26</v>
      </c>
      <c r="F930" s="1">
        <v>8</v>
      </c>
      <c r="G930" s="1">
        <v>8292.8799999999992</v>
      </c>
      <c r="H930" s="1">
        <v>2336.66</v>
      </c>
    </row>
    <row r="931" spans="1:8" x14ac:dyDescent="0.25">
      <c r="A931" t="s">
        <v>957</v>
      </c>
      <c r="B931" s="2">
        <v>45978</v>
      </c>
      <c r="C931" t="s">
        <v>35</v>
      </c>
      <c r="D931" t="s">
        <v>13</v>
      </c>
      <c r="E931" t="s">
        <v>14</v>
      </c>
      <c r="F931" s="1">
        <v>7</v>
      </c>
      <c r="G931" s="1">
        <v>1838.81</v>
      </c>
      <c r="H931" s="1">
        <v>579.80999999999995</v>
      </c>
    </row>
    <row r="932" spans="1:8" x14ac:dyDescent="0.25">
      <c r="A932" t="s">
        <v>958</v>
      </c>
      <c r="B932" s="2">
        <v>45929</v>
      </c>
      <c r="C932" t="s">
        <v>9</v>
      </c>
      <c r="D932" t="s">
        <v>41</v>
      </c>
      <c r="E932" t="s">
        <v>11</v>
      </c>
      <c r="F932" s="1">
        <v>2</v>
      </c>
      <c r="G932" s="1">
        <v>985.22</v>
      </c>
      <c r="H932" s="1">
        <v>262.56</v>
      </c>
    </row>
    <row r="933" spans="1:8" x14ac:dyDescent="0.25">
      <c r="A933" t="s">
        <v>959</v>
      </c>
      <c r="B933" s="2">
        <v>45952</v>
      </c>
      <c r="C933" t="s">
        <v>28</v>
      </c>
      <c r="D933" t="s">
        <v>30</v>
      </c>
      <c r="E933" t="s">
        <v>26</v>
      </c>
      <c r="F933" s="1">
        <v>5</v>
      </c>
      <c r="G933" s="1">
        <v>4263.82</v>
      </c>
      <c r="H933" s="1">
        <v>1046.24</v>
      </c>
    </row>
    <row r="934" spans="1:8" x14ac:dyDescent="0.25">
      <c r="A934" t="s">
        <v>960</v>
      </c>
      <c r="B934" s="2">
        <v>46003</v>
      </c>
      <c r="C934" t="s">
        <v>22</v>
      </c>
      <c r="D934" t="s">
        <v>41</v>
      </c>
      <c r="E934" t="s">
        <v>11</v>
      </c>
      <c r="F934" s="1">
        <v>6</v>
      </c>
      <c r="G934" s="1">
        <v>5376.75</v>
      </c>
      <c r="H934" s="1">
        <v>509.71</v>
      </c>
    </row>
    <row r="935" spans="1:8" x14ac:dyDescent="0.25">
      <c r="A935" t="s">
        <v>961</v>
      </c>
      <c r="B935" s="2">
        <v>45845</v>
      </c>
      <c r="C935" t="s">
        <v>22</v>
      </c>
      <c r="D935" t="s">
        <v>10</v>
      </c>
      <c r="E935" t="s">
        <v>11</v>
      </c>
      <c r="F935" s="1">
        <v>7</v>
      </c>
      <c r="G935" s="1">
        <v>3293.01</v>
      </c>
      <c r="H935" s="1">
        <v>813.92</v>
      </c>
    </row>
    <row r="936" spans="1:8" x14ac:dyDescent="0.25">
      <c r="A936" t="s">
        <v>962</v>
      </c>
      <c r="B936" s="2">
        <v>45762</v>
      </c>
      <c r="C936" t="s">
        <v>28</v>
      </c>
      <c r="D936" t="s">
        <v>16</v>
      </c>
      <c r="E936" t="s">
        <v>17</v>
      </c>
      <c r="F936" s="1">
        <v>9</v>
      </c>
      <c r="G936" s="1">
        <v>7745.44</v>
      </c>
      <c r="H936" s="1">
        <v>1792.33</v>
      </c>
    </row>
    <row r="937" spans="1:8" x14ac:dyDescent="0.25">
      <c r="A937" t="s">
        <v>963</v>
      </c>
      <c r="B937" s="2">
        <v>45955</v>
      </c>
      <c r="C937" t="s">
        <v>28</v>
      </c>
      <c r="D937" t="s">
        <v>33</v>
      </c>
      <c r="E937" t="s">
        <v>26</v>
      </c>
      <c r="F937" s="1">
        <v>9</v>
      </c>
      <c r="G937" s="1">
        <v>1625.32</v>
      </c>
      <c r="H937" s="1">
        <v>340.01</v>
      </c>
    </row>
    <row r="938" spans="1:8" x14ac:dyDescent="0.25">
      <c r="A938" t="s">
        <v>964</v>
      </c>
      <c r="B938" s="2">
        <v>45874</v>
      </c>
      <c r="C938" t="s">
        <v>22</v>
      </c>
      <c r="D938" t="s">
        <v>55</v>
      </c>
      <c r="E938" t="s">
        <v>17</v>
      </c>
      <c r="F938" s="1">
        <v>6</v>
      </c>
      <c r="G938" s="1">
        <v>6495.74</v>
      </c>
      <c r="H938" s="1">
        <v>1402.84</v>
      </c>
    </row>
    <row r="939" spans="1:8" x14ac:dyDescent="0.25">
      <c r="A939" t="s">
        <v>965</v>
      </c>
      <c r="B939" s="2">
        <v>45927</v>
      </c>
      <c r="C939" t="s">
        <v>9</v>
      </c>
      <c r="D939" t="s">
        <v>10</v>
      </c>
      <c r="E939" t="s">
        <v>11</v>
      </c>
      <c r="F939" s="1">
        <v>6</v>
      </c>
      <c r="G939" s="1">
        <v>2682.06</v>
      </c>
      <c r="H939" s="1">
        <v>566.66999999999996</v>
      </c>
    </row>
    <row r="940" spans="1:8" x14ac:dyDescent="0.25">
      <c r="A940" t="s">
        <v>966</v>
      </c>
      <c r="B940" s="2">
        <v>45807</v>
      </c>
      <c r="C940" t="s">
        <v>35</v>
      </c>
      <c r="D940" t="s">
        <v>23</v>
      </c>
      <c r="E940" t="s">
        <v>14</v>
      </c>
      <c r="F940" s="1">
        <v>9</v>
      </c>
      <c r="G940" s="1">
        <v>7470.49</v>
      </c>
      <c r="H940" s="1">
        <v>1672.43</v>
      </c>
    </row>
    <row r="941" spans="1:8" x14ac:dyDescent="0.25">
      <c r="A941" t="s">
        <v>967</v>
      </c>
      <c r="B941" s="2">
        <v>45702</v>
      </c>
      <c r="C941" t="s">
        <v>9</v>
      </c>
      <c r="D941" t="s">
        <v>25</v>
      </c>
      <c r="E941" t="s">
        <v>26</v>
      </c>
      <c r="F941" s="1">
        <v>2</v>
      </c>
      <c r="G941" s="1">
        <v>533.21</v>
      </c>
      <c r="H941" s="1">
        <v>169.92</v>
      </c>
    </row>
    <row r="942" spans="1:8" x14ac:dyDescent="0.25">
      <c r="A942" t="s">
        <v>968</v>
      </c>
      <c r="B942" s="2">
        <v>45742</v>
      </c>
      <c r="C942" t="s">
        <v>22</v>
      </c>
      <c r="D942" t="s">
        <v>13</v>
      </c>
      <c r="E942" t="s">
        <v>14</v>
      </c>
      <c r="F942" s="1">
        <v>5</v>
      </c>
      <c r="G942" s="1">
        <v>5759.97</v>
      </c>
      <c r="H942" s="1">
        <v>580.47</v>
      </c>
    </row>
    <row r="943" spans="1:8" x14ac:dyDescent="0.25">
      <c r="A943" t="s">
        <v>969</v>
      </c>
      <c r="B943" s="2">
        <v>45924</v>
      </c>
      <c r="C943" t="s">
        <v>9</v>
      </c>
      <c r="D943" t="s">
        <v>41</v>
      </c>
      <c r="E943" t="s">
        <v>11</v>
      </c>
      <c r="F943" s="1">
        <v>3</v>
      </c>
      <c r="G943" s="1">
        <v>1862.33</v>
      </c>
      <c r="H943" s="1">
        <v>588.96</v>
      </c>
    </row>
    <row r="944" spans="1:8" x14ac:dyDescent="0.25">
      <c r="A944" t="s">
        <v>970</v>
      </c>
      <c r="B944" s="2">
        <v>45873</v>
      </c>
      <c r="C944" t="s">
        <v>35</v>
      </c>
      <c r="D944" t="s">
        <v>30</v>
      </c>
      <c r="E944" t="s">
        <v>26</v>
      </c>
      <c r="F944" s="1">
        <v>9</v>
      </c>
      <c r="G944" s="1">
        <v>10093.32</v>
      </c>
      <c r="H944" s="1">
        <v>2098.9499999999998</v>
      </c>
    </row>
    <row r="945" spans="1:8" x14ac:dyDescent="0.25">
      <c r="A945" t="s">
        <v>971</v>
      </c>
      <c r="B945" s="2">
        <v>45776</v>
      </c>
      <c r="C945" t="s">
        <v>22</v>
      </c>
      <c r="D945" t="s">
        <v>20</v>
      </c>
      <c r="E945" t="s">
        <v>11</v>
      </c>
      <c r="F945" s="1">
        <v>4</v>
      </c>
      <c r="G945" s="1">
        <v>489.57</v>
      </c>
      <c r="H945" s="1">
        <v>154.4</v>
      </c>
    </row>
    <row r="946" spans="1:8" x14ac:dyDescent="0.25">
      <c r="A946" t="s">
        <v>972</v>
      </c>
      <c r="B946" s="2">
        <v>45906</v>
      </c>
      <c r="C946" t="s">
        <v>35</v>
      </c>
      <c r="D946" t="s">
        <v>23</v>
      </c>
      <c r="E946" t="s">
        <v>14</v>
      </c>
      <c r="F946" s="1">
        <v>6</v>
      </c>
      <c r="G946" s="1">
        <v>4824.75</v>
      </c>
      <c r="H946" s="1">
        <v>1410.96</v>
      </c>
    </row>
    <row r="947" spans="1:8" x14ac:dyDescent="0.25">
      <c r="A947" t="s">
        <v>973</v>
      </c>
      <c r="B947" s="2">
        <v>45745</v>
      </c>
      <c r="C947" t="s">
        <v>22</v>
      </c>
      <c r="D947" t="s">
        <v>57</v>
      </c>
      <c r="E947" t="s">
        <v>14</v>
      </c>
      <c r="F947" s="1">
        <v>10</v>
      </c>
      <c r="G947" s="1">
        <v>2017.47</v>
      </c>
      <c r="H947" s="1">
        <v>591.37</v>
      </c>
    </row>
    <row r="948" spans="1:8" x14ac:dyDescent="0.25">
      <c r="A948" t="s">
        <v>974</v>
      </c>
      <c r="B948" s="2">
        <v>45682</v>
      </c>
      <c r="C948" t="s">
        <v>28</v>
      </c>
      <c r="D948" t="s">
        <v>55</v>
      </c>
      <c r="E948" t="s">
        <v>17</v>
      </c>
      <c r="F948" s="1">
        <v>6</v>
      </c>
      <c r="G948" s="1">
        <v>6998</v>
      </c>
      <c r="H948" s="1">
        <v>2014.25</v>
      </c>
    </row>
    <row r="949" spans="1:8" x14ac:dyDescent="0.25">
      <c r="A949" t="s">
        <v>975</v>
      </c>
      <c r="B949" s="2">
        <v>45740</v>
      </c>
      <c r="C949" t="s">
        <v>22</v>
      </c>
      <c r="D949" t="s">
        <v>30</v>
      </c>
      <c r="E949" t="s">
        <v>26</v>
      </c>
      <c r="F949" s="1">
        <v>8</v>
      </c>
      <c r="G949" s="1">
        <v>9197.17</v>
      </c>
      <c r="H949" s="1">
        <v>2271.98</v>
      </c>
    </row>
    <row r="950" spans="1:8" x14ac:dyDescent="0.25">
      <c r="A950" t="s">
        <v>976</v>
      </c>
      <c r="B950" s="2">
        <v>45820</v>
      </c>
      <c r="C950" t="s">
        <v>28</v>
      </c>
      <c r="D950" t="s">
        <v>48</v>
      </c>
      <c r="E950" t="s">
        <v>17</v>
      </c>
      <c r="F950" s="1">
        <v>3</v>
      </c>
      <c r="G950" s="1">
        <v>706.33</v>
      </c>
      <c r="H950" s="1">
        <v>78.8</v>
      </c>
    </row>
    <row r="951" spans="1:8" x14ac:dyDescent="0.25">
      <c r="A951" t="s">
        <v>977</v>
      </c>
      <c r="B951" s="2">
        <v>45675</v>
      </c>
      <c r="C951" t="s">
        <v>22</v>
      </c>
      <c r="D951" t="s">
        <v>57</v>
      </c>
      <c r="E951" t="s">
        <v>14</v>
      </c>
      <c r="F951" s="1">
        <v>6</v>
      </c>
      <c r="G951" s="1">
        <v>1573.03</v>
      </c>
      <c r="H951" s="1">
        <v>364.74</v>
      </c>
    </row>
    <row r="952" spans="1:8" x14ac:dyDescent="0.25">
      <c r="A952" t="s">
        <v>978</v>
      </c>
      <c r="B952" s="2">
        <v>45931</v>
      </c>
      <c r="C952" t="s">
        <v>22</v>
      </c>
      <c r="D952" t="s">
        <v>33</v>
      </c>
      <c r="E952" t="s">
        <v>26</v>
      </c>
      <c r="F952" s="1">
        <v>6</v>
      </c>
      <c r="G952" s="1">
        <v>3394.16</v>
      </c>
      <c r="H952" s="1">
        <v>1165.47</v>
      </c>
    </row>
    <row r="953" spans="1:8" x14ac:dyDescent="0.25">
      <c r="A953" t="s">
        <v>979</v>
      </c>
      <c r="B953" s="2">
        <v>45892</v>
      </c>
      <c r="C953" t="s">
        <v>22</v>
      </c>
      <c r="D953" t="s">
        <v>10</v>
      </c>
      <c r="E953" t="s">
        <v>11</v>
      </c>
      <c r="F953" s="1">
        <v>7</v>
      </c>
      <c r="G953" s="1">
        <v>7845.1</v>
      </c>
      <c r="H953" s="1">
        <v>2255.4699999999998</v>
      </c>
    </row>
    <row r="954" spans="1:8" x14ac:dyDescent="0.25">
      <c r="A954" t="s">
        <v>980</v>
      </c>
      <c r="B954" s="2">
        <v>46019</v>
      </c>
      <c r="C954" t="s">
        <v>22</v>
      </c>
      <c r="D954" t="s">
        <v>48</v>
      </c>
      <c r="E954" t="s">
        <v>17</v>
      </c>
      <c r="F954" s="1">
        <v>9</v>
      </c>
      <c r="G954" s="1">
        <v>10547.47</v>
      </c>
      <c r="H954" s="1">
        <v>1787.22</v>
      </c>
    </row>
    <row r="955" spans="1:8" x14ac:dyDescent="0.25">
      <c r="A955" t="s">
        <v>981</v>
      </c>
      <c r="B955" s="2">
        <v>45884</v>
      </c>
      <c r="C955" t="s">
        <v>22</v>
      </c>
      <c r="D955" t="s">
        <v>57</v>
      </c>
      <c r="E955" t="s">
        <v>14</v>
      </c>
      <c r="F955" s="1">
        <v>10</v>
      </c>
      <c r="G955" s="1">
        <v>8169.21</v>
      </c>
      <c r="H955" s="1">
        <v>2417.15</v>
      </c>
    </row>
    <row r="956" spans="1:8" x14ac:dyDescent="0.25">
      <c r="A956" t="s">
        <v>982</v>
      </c>
      <c r="B956" s="2">
        <v>45940</v>
      </c>
      <c r="C956" t="s">
        <v>9</v>
      </c>
      <c r="D956" t="s">
        <v>41</v>
      </c>
      <c r="E956" t="s">
        <v>11</v>
      </c>
      <c r="F956" s="1">
        <v>8</v>
      </c>
      <c r="G956" s="1">
        <v>8681.61</v>
      </c>
      <c r="H956" s="1">
        <v>1021.34</v>
      </c>
    </row>
    <row r="957" spans="1:8" x14ac:dyDescent="0.25">
      <c r="A957" t="s">
        <v>983</v>
      </c>
      <c r="B957" s="2">
        <v>45840</v>
      </c>
      <c r="C957" t="s">
        <v>9</v>
      </c>
      <c r="D957" t="s">
        <v>33</v>
      </c>
      <c r="E957" t="s">
        <v>26</v>
      </c>
      <c r="F957" s="1">
        <v>7</v>
      </c>
      <c r="G957" s="1">
        <v>5321.05</v>
      </c>
      <c r="H957" s="1">
        <v>742.28</v>
      </c>
    </row>
    <row r="958" spans="1:8" x14ac:dyDescent="0.25">
      <c r="A958" t="s">
        <v>984</v>
      </c>
      <c r="B958" s="2">
        <v>45771</v>
      </c>
      <c r="C958" t="s">
        <v>22</v>
      </c>
      <c r="D958" t="s">
        <v>33</v>
      </c>
      <c r="E958" t="s">
        <v>26</v>
      </c>
      <c r="F958" s="1">
        <v>10</v>
      </c>
      <c r="G958" s="1">
        <v>7875.1</v>
      </c>
      <c r="H958" s="1">
        <v>1870.54</v>
      </c>
    </row>
    <row r="959" spans="1:8" x14ac:dyDescent="0.25">
      <c r="A959" t="s">
        <v>985</v>
      </c>
      <c r="B959" s="2">
        <v>46001</v>
      </c>
      <c r="C959" t="s">
        <v>9</v>
      </c>
      <c r="D959" t="s">
        <v>48</v>
      </c>
      <c r="E959" t="s">
        <v>17</v>
      </c>
      <c r="F959" s="1">
        <v>2</v>
      </c>
      <c r="G959" s="1">
        <v>1338.35</v>
      </c>
      <c r="H959" s="1">
        <v>268.04000000000002</v>
      </c>
    </row>
    <row r="960" spans="1:8" x14ac:dyDescent="0.25">
      <c r="A960" t="s">
        <v>986</v>
      </c>
      <c r="B960" s="2">
        <v>45686</v>
      </c>
      <c r="C960" t="s">
        <v>22</v>
      </c>
      <c r="D960" t="s">
        <v>13</v>
      </c>
      <c r="E960" t="s">
        <v>14</v>
      </c>
      <c r="F960" s="1">
        <v>8</v>
      </c>
      <c r="G960" s="1">
        <v>3323.37</v>
      </c>
      <c r="H960" s="1">
        <v>808.81</v>
      </c>
    </row>
    <row r="961" spans="1:8" x14ac:dyDescent="0.25">
      <c r="A961" t="s">
        <v>987</v>
      </c>
      <c r="B961" s="2">
        <v>45803</v>
      </c>
      <c r="C961" t="s">
        <v>22</v>
      </c>
      <c r="D961" t="s">
        <v>13</v>
      </c>
      <c r="E961" t="s">
        <v>14</v>
      </c>
      <c r="F961" s="1">
        <v>7</v>
      </c>
      <c r="G961" s="1">
        <v>3325.52</v>
      </c>
      <c r="H961" s="1">
        <v>600.79999999999995</v>
      </c>
    </row>
    <row r="962" spans="1:8" x14ac:dyDescent="0.25">
      <c r="A962" t="s">
        <v>988</v>
      </c>
      <c r="B962" s="2">
        <v>45885</v>
      </c>
      <c r="C962" t="s">
        <v>35</v>
      </c>
      <c r="D962" t="s">
        <v>30</v>
      </c>
      <c r="E962" t="s">
        <v>26</v>
      </c>
      <c r="F962" s="1">
        <v>8</v>
      </c>
      <c r="G962" s="1">
        <v>8443.58</v>
      </c>
      <c r="H962" s="1">
        <v>875.19</v>
      </c>
    </row>
    <row r="963" spans="1:8" x14ac:dyDescent="0.25">
      <c r="A963" t="s">
        <v>989</v>
      </c>
      <c r="B963" s="2">
        <v>45875</v>
      </c>
      <c r="C963" t="s">
        <v>35</v>
      </c>
      <c r="D963" t="s">
        <v>57</v>
      </c>
      <c r="E963" t="s">
        <v>14</v>
      </c>
      <c r="F963" s="1">
        <v>3</v>
      </c>
      <c r="G963" s="1">
        <v>2929.57</v>
      </c>
      <c r="H963" s="1">
        <v>1001.91</v>
      </c>
    </row>
    <row r="964" spans="1:8" x14ac:dyDescent="0.25">
      <c r="A964" t="s">
        <v>990</v>
      </c>
      <c r="B964" s="2">
        <v>45901</v>
      </c>
      <c r="C964" t="s">
        <v>22</v>
      </c>
      <c r="D964" t="s">
        <v>16</v>
      </c>
      <c r="E964" t="s">
        <v>17</v>
      </c>
      <c r="F964" s="1">
        <v>10</v>
      </c>
      <c r="G964" s="1">
        <v>1489.9</v>
      </c>
      <c r="H964" s="1">
        <v>202.78</v>
      </c>
    </row>
    <row r="965" spans="1:8" x14ac:dyDescent="0.25">
      <c r="A965" t="s">
        <v>991</v>
      </c>
      <c r="B965" s="2">
        <v>45797</v>
      </c>
      <c r="C965" t="s">
        <v>35</v>
      </c>
      <c r="D965" t="s">
        <v>41</v>
      </c>
      <c r="E965" t="s">
        <v>11</v>
      </c>
      <c r="F965" s="1">
        <v>7</v>
      </c>
      <c r="G965" s="1">
        <v>1062.01</v>
      </c>
      <c r="H965" s="1">
        <v>202.37</v>
      </c>
    </row>
    <row r="966" spans="1:8" x14ac:dyDescent="0.25">
      <c r="A966" t="s">
        <v>992</v>
      </c>
      <c r="B966" s="2">
        <v>45728</v>
      </c>
      <c r="C966" t="s">
        <v>28</v>
      </c>
      <c r="D966" t="s">
        <v>16</v>
      </c>
      <c r="E966" t="s">
        <v>17</v>
      </c>
      <c r="F966" s="1">
        <v>8</v>
      </c>
      <c r="G966" s="1">
        <v>6934.27</v>
      </c>
      <c r="H966" s="1">
        <v>1968.75</v>
      </c>
    </row>
    <row r="967" spans="1:8" x14ac:dyDescent="0.25">
      <c r="A967" t="s">
        <v>993</v>
      </c>
      <c r="B967" s="2">
        <v>45812</v>
      </c>
      <c r="C967" t="s">
        <v>22</v>
      </c>
      <c r="D967" t="s">
        <v>55</v>
      </c>
      <c r="E967" t="s">
        <v>17</v>
      </c>
      <c r="F967" s="1">
        <v>5</v>
      </c>
      <c r="G967" s="1">
        <v>3434.73</v>
      </c>
      <c r="H967" s="1">
        <v>313.94</v>
      </c>
    </row>
    <row r="968" spans="1:8" x14ac:dyDescent="0.25">
      <c r="A968" t="s">
        <v>994</v>
      </c>
      <c r="B968" s="2">
        <v>45736</v>
      </c>
      <c r="C968" t="s">
        <v>22</v>
      </c>
      <c r="D968" t="s">
        <v>23</v>
      </c>
      <c r="E968" t="s">
        <v>14</v>
      </c>
      <c r="F968" s="1">
        <v>8</v>
      </c>
      <c r="G968" s="1">
        <v>2465.59</v>
      </c>
      <c r="H968" s="1">
        <v>723.97</v>
      </c>
    </row>
    <row r="969" spans="1:8" x14ac:dyDescent="0.25">
      <c r="A969" t="s">
        <v>995</v>
      </c>
      <c r="B969" s="2">
        <v>45805</v>
      </c>
      <c r="C969" t="s">
        <v>35</v>
      </c>
      <c r="D969" t="s">
        <v>25</v>
      </c>
      <c r="E969" t="s">
        <v>26</v>
      </c>
      <c r="F969" s="1">
        <v>8</v>
      </c>
      <c r="G969" s="1">
        <v>1542.43</v>
      </c>
      <c r="H969" s="1">
        <v>400.72</v>
      </c>
    </row>
    <row r="970" spans="1:8" x14ac:dyDescent="0.25">
      <c r="A970" t="s">
        <v>996</v>
      </c>
      <c r="B970" s="2">
        <v>45910</v>
      </c>
      <c r="C970" t="s">
        <v>9</v>
      </c>
      <c r="D970" t="s">
        <v>55</v>
      </c>
      <c r="E970" t="s">
        <v>17</v>
      </c>
      <c r="F970" s="1">
        <v>4</v>
      </c>
      <c r="G970" s="1">
        <v>330.84</v>
      </c>
      <c r="H970" s="1">
        <v>94.78</v>
      </c>
    </row>
    <row r="971" spans="1:8" x14ac:dyDescent="0.25">
      <c r="A971" t="s">
        <v>997</v>
      </c>
      <c r="B971" s="2">
        <v>45979</v>
      </c>
      <c r="C971" t="s">
        <v>35</v>
      </c>
      <c r="D971" t="s">
        <v>25</v>
      </c>
      <c r="E971" t="s">
        <v>26</v>
      </c>
      <c r="F971" s="1">
        <v>8</v>
      </c>
      <c r="G971" s="1">
        <v>5603.29</v>
      </c>
      <c r="H971" s="1">
        <v>1761.97</v>
      </c>
    </row>
    <row r="972" spans="1:8" x14ac:dyDescent="0.25">
      <c r="A972" t="s">
        <v>998</v>
      </c>
      <c r="B972" s="2">
        <v>45790</v>
      </c>
      <c r="C972" t="s">
        <v>28</v>
      </c>
      <c r="D972" t="s">
        <v>20</v>
      </c>
      <c r="E972" t="s">
        <v>11</v>
      </c>
      <c r="F972" s="1">
        <v>9</v>
      </c>
      <c r="G972" s="1">
        <v>8036.11</v>
      </c>
      <c r="H972" s="1">
        <v>680.96</v>
      </c>
    </row>
    <row r="973" spans="1:8" x14ac:dyDescent="0.25">
      <c r="A973" t="s">
        <v>999</v>
      </c>
      <c r="B973" s="2">
        <v>45840</v>
      </c>
      <c r="C973" t="s">
        <v>28</v>
      </c>
      <c r="D973" t="s">
        <v>10</v>
      </c>
      <c r="E973" t="s">
        <v>11</v>
      </c>
      <c r="F973" s="1">
        <v>6</v>
      </c>
      <c r="G973" s="1">
        <v>3481.2</v>
      </c>
      <c r="H973" s="1">
        <v>930.13</v>
      </c>
    </row>
    <row r="974" spans="1:8" x14ac:dyDescent="0.25">
      <c r="A974" t="s">
        <v>1000</v>
      </c>
      <c r="B974" s="2">
        <v>45840</v>
      </c>
      <c r="C974" t="s">
        <v>9</v>
      </c>
      <c r="D974" t="s">
        <v>20</v>
      </c>
      <c r="E974" t="s">
        <v>11</v>
      </c>
      <c r="F974" s="1">
        <v>6</v>
      </c>
      <c r="G974" s="1">
        <v>3194.65</v>
      </c>
      <c r="H974" s="1">
        <v>1042.31</v>
      </c>
    </row>
    <row r="975" spans="1:8" x14ac:dyDescent="0.25">
      <c r="A975" t="s">
        <v>1001</v>
      </c>
      <c r="B975" s="2">
        <v>45757</v>
      </c>
      <c r="C975" t="s">
        <v>28</v>
      </c>
      <c r="D975" t="s">
        <v>30</v>
      </c>
      <c r="E975" t="s">
        <v>26</v>
      </c>
      <c r="F975" s="1">
        <v>9</v>
      </c>
      <c r="G975" s="1">
        <v>7063.1</v>
      </c>
      <c r="H975" s="1">
        <v>711.56</v>
      </c>
    </row>
    <row r="976" spans="1:8" x14ac:dyDescent="0.25">
      <c r="A976" t="s">
        <v>1002</v>
      </c>
      <c r="B976" s="2">
        <v>46008</v>
      </c>
      <c r="C976" t="s">
        <v>22</v>
      </c>
      <c r="D976" t="s">
        <v>41</v>
      </c>
      <c r="E976" t="s">
        <v>11</v>
      </c>
      <c r="F976" s="1">
        <v>3</v>
      </c>
      <c r="G976" s="1">
        <v>2025.81</v>
      </c>
      <c r="H976" s="1">
        <v>639.26</v>
      </c>
    </row>
    <row r="977" spans="1:8" x14ac:dyDescent="0.25">
      <c r="A977" t="s">
        <v>1003</v>
      </c>
      <c r="B977" s="2">
        <v>45731</v>
      </c>
      <c r="C977" t="s">
        <v>9</v>
      </c>
      <c r="D977" t="s">
        <v>25</v>
      </c>
      <c r="E977" t="s">
        <v>26</v>
      </c>
      <c r="F977" s="1">
        <v>6</v>
      </c>
      <c r="G977" s="1">
        <v>961.25</v>
      </c>
      <c r="H977" s="1">
        <v>227.44</v>
      </c>
    </row>
    <row r="978" spans="1:8" x14ac:dyDescent="0.25">
      <c r="A978" t="s">
        <v>1004</v>
      </c>
      <c r="B978" s="2">
        <v>45832</v>
      </c>
      <c r="C978" t="s">
        <v>28</v>
      </c>
      <c r="D978" t="s">
        <v>16</v>
      </c>
      <c r="E978" t="s">
        <v>17</v>
      </c>
      <c r="F978" s="1">
        <v>5</v>
      </c>
      <c r="G978" s="1">
        <v>2394.83</v>
      </c>
      <c r="H978" s="1">
        <v>505.12</v>
      </c>
    </row>
    <row r="979" spans="1:8" x14ac:dyDescent="0.25">
      <c r="A979" t="s">
        <v>1005</v>
      </c>
      <c r="B979" s="2">
        <v>45944</v>
      </c>
      <c r="C979" t="s">
        <v>9</v>
      </c>
      <c r="D979" t="s">
        <v>10</v>
      </c>
      <c r="E979" t="s">
        <v>11</v>
      </c>
      <c r="F979" s="1">
        <v>3</v>
      </c>
      <c r="G979" s="1">
        <v>1886.67</v>
      </c>
      <c r="H979" s="1">
        <v>574.54</v>
      </c>
    </row>
    <row r="980" spans="1:8" x14ac:dyDescent="0.25">
      <c r="A980" t="s">
        <v>1006</v>
      </c>
      <c r="B980" s="2">
        <v>45666</v>
      </c>
      <c r="C980" t="s">
        <v>35</v>
      </c>
      <c r="D980" t="s">
        <v>57</v>
      </c>
      <c r="E980" t="s">
        <v>14</v>
      </c>
      <c r="F980" s="1">
        <v>2</v>
      </c>
      <c r="G980" s="1">
        <v>368.1</v>
      </c>
      <c r="H980" s="1">
        <v>42.49</v>
      </c>
    </row>
    <row r="981" spans="1:8" x14ac:dyDescent="0.25">
      <c r="A981" t="s">
        <v>1007</v>
      </c>
      <c r="B981" s="2">
        <v>45963</v>
      </c>
      <c r="C981" t="s">
        <v>22</v>
      </c>
      <c r="D981" t="s">
        <v>30</v>
      </c>
      <c r="E981" t="s">
        <v>26</v>
      </c>
      <c r="F981" s="1">
        <v>6</v>
      </c>
      <c r="G981" s="1">
        <v>1259.2</v>
      </c>
      <c r="H981" s="1">
        <v>250.99</v>
      </c>
    </row>
    <row r="982" spans="1:8" x14ac:dyDescent="0.25">
      <c r="A982" t="s">
        <v>1008</v>
      </c>
      <c r="B982" s="2">
        <v>45771</v>
      </c>
      <c r="C982" t="s">
        <v>28</v>
      </c>
      <c r="D982" t="s">
        <v>16</v>
      </c>
      <c r="E982" t="s">
        <v>17</v>
      </c>
      <c r="F982" s="1">
        <v>5</v>
      </c>
      <c r="G982" s="1">
        <v>415.37</v>
      </c>
      <c r="H982" s="1">
        <v>124.58</v>
      </c>
    </row>
    <row r="983" spans="1:8" x14ac:dyDescent="0.25">
      <c r="A983" t="s">
        <v>1009</v>
      </c>
      <c r="B983" s="2">
        <v>45698</v>
      </c>
      <c r="C983" t="s">
        <v>35</v>
      </c>
      <c r="D983" t="s">
        <v>16</v>
      </c>
      <c r="E983" t="s">
        <v>17</v>
      </c>
      <c r="F983" s="1">
        <v>4</v>
      </c>
      <c r="G983" s="1">
        <v>1614.17</v>
      </c>
      <c r="H983" s="1">
        <v>220.59</v>
      </c>
    </row>
    <row r="984" spans="1:8" x14ac:dyDescent="0.25">
      <c r="A984" t="s">
        <v>1010</v>
      </c>
      <c r="B984" s="2">
        <v>45679</v>
      </c>
      <c r="C984" t="s">
        <v>28</v>
      </c>
      <c r="D984" t="s">
        <v>10</v>
      </c>
      <c r="E984" t="s">
        <v>11</v>
      </c>
      <c r="F984" s="1">
        <v>1</v>
      </c>
      <c r="G984" s="1">
        <v>940.9</v>
      </c>
      <c r="H984" s="1">
        <v>267.67</v>
      </c>
    </row>
    <row r="985" spans="1:8" x14ac:dyDescent="0.25">
      <c r="A985" t="s">
        <v>1011</v>
      </c>
      <c r="B985" s="2">
        <v>45787</v>
      </c>
      <c r="C985" t="s">
        <v>9</v>
      </c>
      <c r="D985" t="s">
        <v>10</v>
      </c>
      <c r="E985" t="s">
        <v>11</v>
      </c>
      <c r="F985" s="1">
        <v>9</v>
      </c>
      <c r="G985" s="1">
        <v>6589.37</v>
      </c>
      <c r="H985" s="1">
        <v>1361.71</v>
      </c>
    </row>
    <row r="986" spans="1:8" x14ac:dyDescent="0.25">
      <c r="A986" t="s">
        <v>1012</v>
      </c>
      <c r="B986" s="2">
        <v>45966</v>
      </c>
      <c r="C986" t="s">
        <v>28</v>
      </c>
      <c r="D986" t="s">
        <v>20</v>
      </c>
      <c r="E986" t="s">
        <v>11</v>
      </c>
      <c r="F986" s="1">
        <v>1</v>
      </c>
      <c r="G986" s="1">
        <v>917.73</v>
      </c>
      <c r="H986" s="1">
        <v>267.27999999999997</v>
      </c>
    </row>
    <row r="987" spans="1:8" x14ac:dyDescent="0.25">
      <c r="A987" t="s">
        <v>1013</v>
      </c>
      <c r="B987" s="2">
        <v>45800</v>
      </c>
      <c r="C987" t="s">
        <v>22</v>
      </c>
      <c r="D987" t="s">
        <v>48</v>
      </c>
      <c r="E987" t="s">
        <v>17</v>
      </c>
      <c r="F987" s="1">
        <v>6</v>
      </c>
      <c r="G987" s="1">
        <v>501.89</v>
      </c>
      <c r="H987" s="1">
        <v>59.88</v>
      </c>
    </row>
    <row r="988" spans="1:8" x14ac:dyDescent="0.25">
      <c r="A988" t="s">
        <v>1014</v>
      </c>
      <c r="B988" s="2">
        <v>45916</v>
      </c>
      <c r="C988" t="s">
        <v>9</v>
      </c>
      <c r="D988" t="s">
        <v>33</v>
      </c>
      <c r="E988" t="s">
        <v>26</v>
      </c>
      <c r="F988" s="1">
        <v>9</v>
      </c>
      <c r="G988" s="1">
        <v>8531.2999999999993</v>
      </c>
      <c r="H988" s="1">
        <v>2094.42</v>
      </c>
    </row>
    <row r="989" spans="1:8" x14ac:dyDescent="0.25">
      <c r="A989" t="s">
        <v>1015</v>
      </c>
      <c r="B989" s="2">
        <v>45802</v>
      </c>
      <c r="C989" t="s">
        <v>28</v>
      </c>
      <c r="D989" t="s">
        <v>41</v>
      </c>
      <c r="E989" t="s">
        <v>11</v>
      </c>
      <c r="F989" s="1">
        <v>1</v>
      </c>
      <c r="G989" s="1">
        <v>658.16</v>
      </c>
      <c r="H989" s="1">
        <v>179.85</v>
      </c>
    </row>
    <row r="990" spans="1:8" x14ac:dyDescent="0.25">
      <c r="A990" t="s">
        <v>1016</v>
      </c>
      <c r="B990" s="2">
        <v>46020</v>
      </c>
      <c r="C990" t="s">
        <v>35</v>
      </c>
      <c r="D990" t="s">
        <v>41</v>
      </c>
      <c r="E990" t="s">
        <v>11</v>
      </c>
      <c r="F990" s="1">
        <v>2</v>
      </c>
      <c r="G990" s="1">
        <v>2225.73</v>
      </c>
      <c r="H990" s="1">
        <v>731.22</v>
      </c>
    </row>
    <row r="991" spans="1:8" x14ac:dyDescent="0.25">
      <c r="A991" t="s">
        <v>1017</v>
      </c>
      <c r="B991" s="2">
        <v>45712</v>
      </c>
      <c r="C991" t="s">
        <v>28</v>
      </c>
      <c r="D991" t="s">
        <v>25</v>
      </c>
      <c r="E991" t="s">
        <v>26</v>
      </c>
      <c r="F991" s="1">
        <v>10</v>
      </c>
      <c r="G991" s="1">
        <v>2628.95</v>
      </c>
      <c r="H991" s="1">
        <v>688.4</v>
      </c>
    </row>
    <row r="992" spans="1:8" x14ac:dyDescent="0.25">
      <c r="A992" t="s">
        <v>1018</v>
      </c>
      <c r="B992" s="2">
        <v>45715</v>
      </c>
      <c r="C992" t="s">
        <v>22</v>
      </c>
      <c r="D992" t="s">
        <v>30</v>
      </c>
      <c r="E992" t="s">
        <v>26</v>
      </c>
      <c r="F992" s="1">
        <v>7</v>
      </c>
      <c r="G992" s="1">
        <v>2074.91</v>
      </c>
      <c r="H992" s="1">
        <v>293.47000000000003</v>
      </c>
    </row>
    <row r="993" spans="1:8" x14ac:dyDescent="0.25">
      <c r="A993" t="s">
        <v>1019</v>
      </c>
      <c r="B993" s="2">
        <v>45842</v>
      </c>
      <c r="C993" t="s">
        <v>22</v>
      </c>
      <c r="D993" t="s">
        <v>20</v>
      </c>
      <c r="E993" t="s">
        <v>11</v>
      </c>
      <c r="F993" s="1">
        <v>2</v>
      </c>
      <c r="G993" s="1">
        <v>1295.3699999999999</v>
      </c>
      <c r="H993" s="1">
        <v>277.04000000000002</v>
      </c>
    </row>
    <row r="994" spans="1:8" x14ac:dyDescent="0.25">
      <c r="A994" t="s">
        <v>1020</v>
      </c>
      <c r="B994" s="2">
        <v>45891</v>
      </c>
      <c r="C994" t="s">
        <v>22</v>
      </c>
      <c r="D994" t="s">
        <v>10</v>
      </c>
      <c r="E994" t="s">
        <v>11</v>
      </c>
      <c r="F994" s="1">
        <v>6</v>
      </c>
      <c r="G994" s="1">
        <v>3706.62</v>
      </c>
      <c r="H994" s="1">
        <v>681.61</v>
      </c>
    </row>
    <row r="995" spans="1:8" x14ac:dyDescent="0.25">
      <c r="A995" t="s">
        <v>1021</v>
      </c>
      <c r="B995" s="2">
        <v>45877</v>
      </c>
      <c r="C995" t="s">
        <v>28</v>
      </c>
      <c r="D995" t="s">
        <v>13</v>
      </c>
      <c r="E995" t="s">
        <v>14</v>
      </c>
      <c r="F995" s="1">
        <v>9</v>
      </c>
      <c r="G995" s="1">
        <v>4665.37</v>
      </c>
      <c r="H995" s="1">
        <v>1613.94</v>
      </c>
    </row>
    <row r="996" spans="1:8" x14ac:dyDescent="0.25">
      <c r="A996" t="s">
        <v>1022</v>
      </c>
      <c r="B996" s="2">
        <v>45909</v>
      </c>
      <c r="C996" t="s">
        <v>9</v>
      </c>
      <c r="D996" t="s">
        <v>20</v>
      </c>
      <c r="E996" t="s">
        <v>11</v>
      </c>
      <c r="F996" s="1">
        <v>6</v>
      </c>
      <c r="G996" s="1">
        <v>1537.15</v>
      </c>
      <c r="H996" s="1">
        <v>537.47</v>
      </c>
    </row>
    <row r="997" spans="1:8" x14ac:dyDescent="0.25">
      <c r="A997" t="s">
        <v>1023</v>
      </c>
      <c r="B997" s="2">
        <v>45731</v>
      </c>
      <c r="C997" t="s">
        <v>35</v>
      </c>
      <c r="D997" t="s">
        <v>57</v>
      </c>
      <c r="E997" t="s">
        <v>14</v>
      </c>
      <c r="F997" s="1">
        <v>9</v>
      </c>
      <c r="G997" s="1">
        <v>7265.97</v>
      </c>
      <c r="H997" s="1">
        <v>748.04</v>
      </c>
    </row>
    <row r="998" spans="1:8" x14ac:dyDescent="0.25">
      <c r="A998" t="s">
        <v>1024</v>
      </c>
      <c r="B998" s="2">
        <v>45744</v>
      </c>
      <c r="C998" t="s">
        <v>9</v>
      </c>
      <c r="D998" t="s">
        <v>23</v>
      </c>
      <c r="E998" t="s">
        <v>14</v>
      </c>
      <c r="F998" s="1">
        <v>10</v>
      </c>
      <c r="G998" s="1">
        <v>11742.06</v>
      </c>
      <c r="H998" s="1">
        <v>3289.97</v>
      </c>
    </row>
    <row r="999" spans="1:8" x14ac:dyDescent="0.25">
      <c r="A999" t="s">
        <v>1025</v>
      </c>
      <c r="B999" s="2">
        <v>45864</v>
      </c>
      <c r="C999" t="s">
        <v>9</v>
      </c>
      <c r="D999" t="s">
        <v>33</v>
      </c>
      <c r="E999" t="s">
        <v>26</v>
      </c>
      <c r="F999" s="1">
        <v>6</v>
      </c>
      <c r="G999" s="1">
        <v>1681.82</v>
      </c>
      <c r="H999" s="1">
        <v>517.80999999999995</v>
      </c>
    </row>
    <row r="1000" spans="1:8" x14ac:dyDescent="0.25">
      <c r="A1000" t="s">
        <v>1026</v>
      </c>
      <c r="B1000" s="2">
        <v>45955</v>
      </c>
      <c r="C1000" t="s">
        <v>22</v>
      </c>
      <c r="D1000" t="s">
        <v>55</v>
      </c>
      <c r="E1000" t="s">
        <v>17</v>
      </c>
      <c r="F1000" s="1">
        <v>8</v>
      </c>
      <c r="G1000" s="1">
        <v>2962.37</v>
      </c>
      <c r="H1000" s="1">
        <v>807.67</v>
      </c>
    </row>
    <row r="1001" spans="1:8" x14ac:dyDescent="0.25">
      <c r="A1001" t="s">
        <v>1027</v>
      </c>
      <c r="B1001" s="2">
        <v>45906</v>
      </c>
      <c r="C1001" t="s">
        <v>22</v>
      </c>
      <c r="D1001" t="s">
        <v>57</v>
      </c>
      <c r="E1001" t="s">
        <v>14</v>
      </c>
      <c r="F1001" s="1">
        <v>8</v>
      </c>
      <c r="G1001" s="1">
        <v>6533.43</v>
      </c>
      <c r="H1001" s="1">
        <v>2198.7399999999998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2F3B3-C214-40EE-B6CB-F918042CA4DB}">
  <dimension ref="A1:I2"/>
  <sheetViews>
    <sheetView workbookViewId="0">
      <selection activeCell="C2" sqref="C2"/>
    </sheetView>
  </sheetViews>
  <sheetFormatPr defaultRowHeight="15" x14ac:dyDescent="0.25"/>
  <cols>
    <col min="1" max="1" width="14.28515625" customWidth="1"/>
    <col min="3" max="3" width="12.85546875" customWidth="1"/>
    <col min="5" max="5" width="14.28515625" customWidth="1"/>
    <col min="7" max="7" width="19.140625" customWidth="1"/>
  </cols>
  <sheetData>
    <row r="1" spans="1:9" x14ac:dyDescent="0.25">
      <c r="A1" s="3" t="s">
        <v>1028</v>
      </c>
      <c r="C1" s="3" t="s">
        <v>1029</v>
      </c>
      <c r="E1" s="3" t="s">
        <v>1030</v>
      </c>
      <c r="G1" s="3" t="s">
        <v>1031</v>
      </c>
      <c r="I1" s="3" t="s">
        <v>1032</v>
      </c>
    </row>
    <row r="2" spans="1:9" x14ac:dyDescent="0.25">
      <c r="A2" s="9">
        <f>ROUND(SUM(SalesData[Sales]),2)</f>
        <v>3555038.98</v>
      </c>
      <c r="C2" s="9">
        <f>ROUND(SUM(SalesData[Profit]),2)</f>
        <v>771216.32</v>
      </c>
      <c r="E2" s="8">
        <f>COUNTA(SalesData[OrderID])</f>
        <v>1000</v>
      </c>
      <c r="G2" s="4">
        <f>ROUND(SUM(SalesData[Sales])/COUNTA(SalesData[OrderID]),2)</f>
        <v>3555.04</v>
      </c>
      <c r="I2" s="5">
        <f>ROUND(SUM(SalesData[Profit])/SUM(SalesData[Sales]),2)</f>
        <v>0.22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BB342-5525-4AEC-8DDE-A7C4D4B03BBB}">
  <dimension ref="A1:N16"/>
  <sheetViews>
    <sheetView topLeftCell="B1" workbookViewId="0">
      <selection activeCell="K9" sqref="K9"/>
    </sheetView>
  </sheetViews>
  <sheetFormatPr defaultRowHeight="15" x14ac:dyDescent="0.25"/>
  <cols>
    <col min="1" max="1" width="11.28515625" bestFit="1" customWidth="1"/>
    <col min="2" max="2" width="13.42578125" bestFit="1" customWidth="1"/>
    <col min="3" max="3" width="7.85546875" customWidth="1"/>
    <col min="4" max="4" width="15.28515625" bestFit="1" customWidth="1"/>
    <col min="5" max="5" width="12.28515625" bestFit="1" customWidth="1"/>
    <col min="6" max="6" width="8.85546875" customWidth="1"/>
    <col min="7" max="7" width="11.28515625" bestFit="1" customWidth="1"/>
    <col min="8" max="8" width="13.42578125" bestFit="1" customWidth="1"/>
    <col min="9" max="9" width="8.7109375" customWidth="1"/>
    <col min="10" max="10" width="11.28515625" bestFit="1" customWidth="1"/>
    <col min="11" max="11" width="12.28515625" bestFit="1" customWidth="1"/>
    <col min="12" max="12" width="9" customWidth="1"/>
    <col min="13" max="13" width="11.28515625" bestFit="1" customWidth="1"/>
    <col min="14" max="14" width="12.28515625" bestFit="1" customWidth="1"/>
    <col min="15" max="15" width="13.42578125" bestFit="1" customWidth="1"/>
  </cols>
  <sheetData>
    <row r="1" spans="1:14" x14ac:dyDescent="0.25">
      <c r="A1" s="15" t="s">
        <v>1034</v>
      </c>
      <c r="B1" s="16"/>
      <c r="D1" s="15" t="s">
        <v>1048</v>
      </c>
      <c r="E1" s="16"/>
      <c r="G1" s="15" t="s">
        <v>1035</v>
      </c>
      <c r="H1" s="16"/>
      <c r="J1" s="16" t="s">
        <v>1049</v>
      </c>
      <c r="K1" s="16"/>
      <c r="M1" s="16" t="s">
        <v>1050</v>
      </c>
      <c r="N1" s="16"/>
    </row>
    <row r="3" spans="1:14" x14ac:dyDescent="0.25">
      <c r="A3" s="6" t="s">
        <v>2</v>
      </c>
      <c r="B3" t="s">
        <v>1028</v>
      </c>
      <c r="D3" s="6" t="s">
        <v>3</v>
      </c>
      <c r="E3" t="s">
        <v>1028</v>
      </c>
      <c r="G3" s="6" t="s">
        <v>1052</v>
      </c>
      <c r="H3" t="s">
        <v>1028</v>
      </c>
      <c r="J3" s="6" t="s">
        <v>2</v>
      </c>
      <c r="K3" t="s">
        <v>1029</v>
      </c>
      <c r="M3" s="6" t="s">
        <v>4</v>
      </c>
      <c r="N3" t="s">
        <v>1028</v>
      </c>
    </row>
    <row r="4" spans="1:14" x14ac:dyDescent="0.25">
      <c r="A4" t="s">
        <v>28</v>
      </c>
      <c r="B4" s="7">
        <v>1013927.2199999999</v>
      </c>
      <c r="D4" t="s">
        <v>13</v>
      </c>
      <c r="E4" s="7">
        <v>308857.88999999996</v>
      </c>
      <c r="G4" t="s">
        <v>1036</v>
      </c>
      <c r="H4" s="7">
        <v>253501.55999999994</v>
      </c>
      <c r="J4" t="s">
        <v>28</v>
      </c>
      <c r="K4" s="7">
        <v>213398.51000000004</v>
      </c>
      <c r="M4" t="s">
        <v>17</v>
      </c>
      <c r="N4" s="7">
        <v>840319.73000000021</v>
      </c>
    </row>
    <row r="5" spans="1:14" x14ac:dyDescent="0.25">
      <c r="A5" t="s">
        <v>9</v>
      </c>
      <c r="B5" s="7">
        <v>901418.07</v>
      </c>
      <c r="D5" t="s">
        <v>20</v>
      </c>
      <c r="E5" s="7">
        <v>314006.00000000006</v>
      </c>
      <c r="G5" t="s">
        <v>1037</v>
      </c>
      <c r="H5" s="7">
        <v>301507.01</v>
      </c>
      <c r="J5" t="s">
        <v>9</v>
      </c>
      <c r="K5" s="7">
        <v>203815.71999999994</v>
      </c>
      <c r="M5" t="s">
        <v>26</v>
      </c>
      <c r="N5" s="7">
        <v>857480.84999999986</v>
      </c>
    </row>
    <row r="6" spans="1:14" x14ac:dyDescent="0.25">
      <c r="A6" t="s">
        <v>35</v>
      </c>
      <c r="B6" s="7">
        <v>855604.97999999986</v>
      </c>
      <c r="D6" t="s">
        <v>30</v>
      </c>
      <c r="E6" s="7">
        <v>323572.7699999999</v>
      </c>
      <c r="G6" t="s">
        <v>1038</v>
      </c>
      <c r="H6" s="7">
        <v>310098.89</v>
      </c>
      <c r="J6" t="s">
        <v>35</v>
      </c>
      <c r="K6" s="7">
        <v>187512.57000000007</v>
      </c>
      <c r="M6" t="s">
        <v>11</v>
      </c>
      <c r="N6" s="7">
        <v>895010.90999999968</v>
      </c>
    </row>
    <row r="7" spans="1:14" x14ac:dyDescent="0.25">
      <c r="A7" t="s">
        <v>22</v>
      </c>
      <c r="B7" s="7">
        <v>784088.71000000008</v>
      </c>
      <c r="D7" t="s">
        <v>10</v>
      </c>
      <c r="E7" s="7">
        <v>333439.95999999996</v>
      </c>
      <c r="G7" t="s">
        <v>1039</v>
      </c>
      <c r="H7" s="7">
        <v>295877.99999999994</v>
      </c>
      <c r="J7" t="s">
        <v>22</v>
      </c>
      <c r="K7" s="7">
        <v>166489.52000000002</v>
      </c>
      <c r="M7" t="s">
        <v>14</v>
      </c>
      <c r="N7" s="7">
        <v>962227.48999999964</v>
      </c>
    </row>
    <row r="8" spans="1:14" x14ac:dyDescent="0.25">
      <c r="A8" t="s">
        <v>1033</v>
      </c>
      <c r="B8" s="7">
        <v>3555038.98</v>
      </c>
      <c r="D8" t="s">
        <v>23</v>
      </c>
      <c r="E8" s="7">
        <v>375974.13000000006</v>
      </c>
      <c r="G8" t="s">
        <v>1040</v>
      </c>
      <c r="H8" s="7">
        <v>346424.07000000007</v>
      </c>
      <c r="J8" t="s">
        <v>1033</v>
      </c>
      <c r="K8" s="7">
        <v>771216.32000000007</v>
      </c>
    </row>
    <row r="9" spans="1:14" x14ac:dyDescent="0.25">
      <c r="G9" t="s">
        <v>1041</v>
      </c>
      <c r="H9" s="7">
        <v>326259.66000000009</v>
      </c>
    </row>
    <row r="10" spans="1:14" x14ac:dyDescent="0.25">
      <c r="G10" t="s">
        <v>1042</v>
      </c>
      <c r="H10" s="7">
        <v>203270.6</v>
      </c>
    </row>
    <row r="11" spans="1:14" x14ac:dyDescent="0.25">
      <c r="G11" t="s">
        <v>1043</v>
      </c>
      <c r="H11" s="7">
        <v>408614.45999999996</v>
      </c>
    </row>
    <row r="12" spans="1:14" x14ac:dyDescent="0.25">
      <c r="G12" t="s">
        <v>1044</v>
      </c>
      <c r="H12" s="7">
        <v>284608.40000000002</v>
      </c>
    </row>
    <row r="13" spans="1:14" x14ac:dyDescent="0.25">
      <c r="G13" t="s">
        <v>1045</v>
      </c>
      <c r="H13" s="7">
        <v>314567.50000000006</v>
      </c>
    </row>
    <row r="14" spans="1:14" x14ac:dyDescent="0.25">
      <c r="G14" t="s">
        <v>1046</v>
      </c>
      <c r="H14" s="7">
        <v>230514.02000000008</v>
      </c>
    </row>
    <row r="15" spans="1:14" x14ac:dyDescent="0.25">
      <c r="G15" t="s">
        <v>1047</v>
      </c>
      <c r="H15" s="7">
        <v>279794.81</v>
      </c>
    </row>
    <row r="16" spans="1:14" x14ac:dyDescent="0.25">
      <c r="G16" t="s">
        <v>1033</v>
      </c>
      <c r="H16" s="7">
        <v>3555038.98</v>
      </c>
    </row>
  </sheetData>
  <mergeCells count="5">
    <mergeCell ref="A1:B1"/>
    <mergeCell ref="D1:E1"/>
    <mergeCell ref="G1:H1"/>
    <mergeCell ref="J1:K1"/>
    <mergeCell ref="M1:N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7F456-4A69-4B5E-BF67-48789D08294E}">
  <sheetPr>
    <pageSetUpPr fitToPage="1"/>
  </sheetPr>
  <dimension ref="A1:O6"/>
  <sheetViews>
    <sheetView showGridLines="0" tabSelected="1" workbookViewId="0">
      <selection activeCell="Q8" sqref="Q8"/>
    </sheetView>
  </sheetViews>
  <sheetFormatPr defaultRowHeight="15" x14ac:dyDescent="0.25"/>
  <sheetData>
    <row r="1" spans="1:15" ht="26.25" customHeight="1" x14ac:dyDescent="0.25">
      <c r="A1" s="10" t="s">
        <v>1051</v>
      </c>
      <c r="B1" s="10"/>
      <c r="C1" s="10"/>
      <c r="D1" s="10"/>
      <c r="E1" s="10"/>
      <c r="F1" s="10"/>
      <c r="G1" s="10"/>
      <c r="H1" s="10"/>
      <c r="I1" s="10"/>
      <c r="J1" s="10"/>
      <c r="K1" s="10"/>
      <c r="L1" s="10"/>
      <c r="M1" s="10"/>
      <c r="N1" s="10"/>
      <c r="O1" s="10"/>
    </row>
    <row r="3" spans="1:15" x14ac:dyDescent="0.25">
      <c r="A3" s="11" t="s">
        <v>1028</v>
      </c>
      <c r="B3" s="11"/>
      <c r="C3" s="11"/>
      <c r="E3" s="11" t="s">
        <v>1029</v>
      </c>
      <c r="F3" s="11"/>
      <c r="G3" s="11"/>
      <c r="I3" s="11" t="s">
        <v>1030</v>
      </c>
      <c r="J3" s="11"/>
      <c r="K3" s="11"/>
      <c r="M3" s="11" t="s">
        <v>1032</v>
      </c>
      <c r="N3" s="11"/>
      <c r="O3" s="11"/>
    </row>
    <row r="4" spans="1:15" x14ac:dyDescent="0.25">
      <c r="A4" s="11"/>
      <c r="B4" s="11"/>
      <c r="C4" s="11"/>
      <c r="E4" s="11"/>
      <c r="F4" s="11"/>
      <c r="G4" s="11"/>
      <c r="I4" s="11"/>
      <c r="J4" s="11"/>
      <c r="K4" s="11"/>
      <c r="M4" s="11"/>
      <c r="N4" s="11"/>
      <c r="O4" s="11"/>
    </row>
    <row r="5" spans="1:15" x14ac:dyDescent="0.25">
      <c r="A5" s="13" t="str">
        <f>TEXT(KPI_Calculations!A2/100000,"₹ 0.00")&amp;" L"</f>
        <v>₹ 35.55 L</v>
      </c>
      <c r="B5" s="13"/>
      <c r="C5" s="13"/>
      <c r="E5" s="13" t="str">
        <f>TEXT(KPI_Calculations!C2/100000,"₹ 0.00")&amp;" L"</f>
        <v>₹ 7.71 L</v>
      </c>
      <c r="F5" s="13"/>
      <c r="G5" s="13"/>
      <c r="I5" s="14">
        <f>KPI_Calculations!E2</f>
        <v>1000</v>
      </c>
      <c r="J5" s="14"/>
      <c r="K5" s="14"/>
      <c r="M5" s="12">
        <f>KPI_Calculations!I2</f>
        <v>0.22</v>
      </c>
      <c r="N5" s="12"/>
      <c r="O5" s="12"/>
    </row>
    <row r="6" spans="1:15" x14ac:dyDescent="0.25">
      <c r="A6" s="13"/>
      <c r="B6" s="13"/>
      <c r="C6" s="13"/>
      <c r="E6" s="13"/>
      <c r="F6" s="13"/>
      <c r="G6" s="13"/>
      <c r="I6" s="14"/>
      <c r="J6" s="14"/>
      <c r="K6" s="14"/>
      <c r="M6" s="12"/>
      <c r="N6" s="12"/>
      <c r="O6" s="12"/>
    </row>
  </sheetData>
  <mergeCells count="9">
    <mergeCell ref="A1:O1"/>
    <mergeCell ref="M3:O4"/>
    <mergeCell ref="M5:O6"/>
    <mergeCell ref="A3:C4"/>
    <mergeCell ref="A5:C6"/>
    <mergeCell ref="E3:G4"/>
    <mergeCell ref="E5:G6"/>
    <mergeCell ref="I3:K4"/>
    <mergeCell ref="I5:K6"/>
  </mergeCells>
  <pageMargins left="0.7" right="0.7" top="0.75" bottom="0.75" header="0.3" footer="0.3"/>
  <pageSetup paperSize="9" scale="5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KPI_Calculations</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Bhupinder Kaur</cp:lastModifiedBy>
  <cp:lastPrinted>2026-06-18T10:21:07Z</cp:lastPrinted>
  <dcterms:created xsi:type="dcterms:W3CDTF">2026-06-17T04:44:12Z</dcterms:created>
  <dcterms:modified xsi:type="dcterms:W3CDTF">2026-06-18T10:24:43Z</dcterms:modified>
</cp:coreProperties>
</file>